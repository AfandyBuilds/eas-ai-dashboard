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ejadasharepoint.sharepoint.com/sites/CloudCenterofExcellence/Shared Documents/DCoE - Service Excellence/ECC Development CoE/Use_Case_Template/"/>
    </mc:Choice>
  </mc:AlternateContent>
  <xr:revisionPtr revIDLastSave="0" documentId="8_{A5D45301-15B1-4A57-B57A-26225EB012B9}" xr6:coauthVersionLast="47" xr6:coauthVersionMax="47" xr10:uidLastSave="{00000000-0000-0000-0000-000000000000}"/>
  <bookViews>
    <workbookView minimized="1" xWindow="9750" yWindow="2610" windowWidth="21600" windowHeight="11295" firstSheet="3" activeTab="3" xr2:uid="{00000000-000D-0000-FFFF-FFFF00000000}"/>
  </bookViews>
  <sheets>
    <sheet name="Info" sheetId="3" r:id="rId1"/>
    <sheet name="Sheet3" sheetId="8" r:id="rId2"/>
    <sheet name="Sheet1" sheetId="5" r:id="rId3"/>
    <sheet name="Use Case Template" sheetId="1" r:id="rId4"/>
    <sheet name="Sheet2" sheetId="9" r:id="rId5"/>
    <sheet name="Sheet4" sheetId="10" r:id="rId6"/>
  </sheets>
  <definedNames>
    <definedName name="_xlnm._FilterDatabase" localSheetId="3" hidden="1">'Use Case Template'!$AF$1:$AH$110</definedName>
    <definedName name="_xlcn.WorksheetConnection_AI_Use_Case_Asset_Template.xlsxTable11" hidden="1">Table1[]</definedName>
  </definedNames>
  <calcPr calcId="191028"/>
  <pivotCaches>
    <pivotCache cacheId="319" r:id="rId7"/>
    <pivotCache cacheId="320" r:id="rId8"/>
    <pivotCache cacheId="321"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I_Use_Case_Asset_Templat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1" l="1"/>
  <c r="AI109"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10" i="1"/>
  <c r="D5" i="10"/>
  <c r="A22" i="1"/>
  <c r="A23" i="1"/>
  <c r="A24" i="1"/>
  <c r="A110" i="1"/>
  <c r="A109" i="1"/>
  <c r="A6" i="1"/>
  <c r="A7" i="1"/>
  <c r="A8" i="1"/>
  <c r="A9" i="1"/>
  <c r="A10" i="1"/>
  <c r="A11" i="1"/>
  <c r="A12" i="1"/>
  <c r="A13" i="1"/>
  <c r="A14" i="1"/>
  <c r="A15" i="1"/>
  <c r="A16" i="1"/>
  <c r="A17" i="1"/>
  <c r="A18" i="1"/>
  <c r="A19" i="1"/>
  <c r="A20" i="1"/>
  <c r="A21"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4" i="1"/>
  <c r="P28" i="1"/>
  <c r="P27" i="1"/>
  <c r="P26" i="1"/>
  <c r="P25" i="1"/>
  <c r="A2" i="1"/>
  <c r="A3" i="1"/>
  <c r="A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96C292-95A2-4DC3-A51D-0E43230A9F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20FB06-E92D-459D-8234-B7E6238AE60D}" name="WorksheetConnection_AI_Use_Case_Asset_Template.xlsx!Table1" type="102" refreshedVersion="8" minRefreshableVersion="5">
    <extLst>
      <ext xmlns:x15="http://schemas.microsoft.com/office/spreadsheetml/2010/11/main" uri="{DE250136-89BD-433C-8126-D09CA5730AF9}">
        <x15:connection id="Table1" autoDelete="1">
          <x15:rangePr sourceName="_xlcn.WorksheetConnection_AI_Use_Case_Asset_Template.xlsxTable11"/>
        </x15:connection>
      </ext>
    </extLst>
  </connection>
</connections>
</file>

<file path=xl/sharedStrings.xml><?xml version="1.0" encoding="utf-8"?>
<sst xmlns="http://schemas.openxmlformats.org/spreadsheetml/2006/main" count="2830" uniqueCount="1291">
  <si>
    <t>Yes</t>
  </si>
  <si>
    <t>Implemented</t>
  </si>
  <si>
    <t>Accepted Idea</t>
  </si>
  <si>
    <t>Accepted – Ready for Pilot</t>
  </si>
  <si>
    <t>Productivity</t>
  </si>
  <si>
    <t>No</t>
  </si>
  <si>
    <t>In Progress</t>
  </si>
  <si>
    <t>More Elaboration Needed</t>
  </si>
  <si>
    <t>Accepted – Ready for Implementation</t>
  </si>
  <si>
    <t>Financial</t>
  </si>
  <si>
    <t>Planned</t>
  </si>
  <si>
    <t xml:space="preserve">Not Accepted Idea </t>
  </si>
  <si>
    <t>Accepted – Ready for Scale</t>
  </si>
  <si>
    <t>Accepted – Reusable Across Towers</t>
  </si>
  <si>
    <t>Accepted – Proven with Adoption Evidence</t>
  </si>
  <si>
    <t>Need More Elaboration – Missing Business Impact</t>
  </si>
  <si>
    <t>Need More Elaboration – Missing KPI / ROI</t>
  </si>
  <si>
    <t>Need More Elaboration – Missing Data Source</t>
  </si>
  <si>
    <t>Need More Elaboration – Missing Owner / SPOC</t>
  </si>
  <si>
    <t>Need More Elaboration – Missing Implementation Steps</t>
  </si>
  <si>
    <t>Need More Elaboration – AI Method Unclear</t>
  </si>
  <si>
    <t>Need More Elaboration – Effort Logic Inconsistent</t>
  </si>
  <si>
    <t>Need More Elaboration – Tools / Platform Unclear</t>
  </si>
  <si>
    <t>Need More Elaboration – Dependencies Not Defined</t>
  </si>
  <si>
    <t>Need More Elaboration – Security / Compliance Review Needed</t>
  </si>
  <si>
    <t>Need More Elaboration – Status / Adoption Mismatch</t>
  </si>
  <si>
    <t>Need More Elaboration – Reframe as AI-Assisted Pipeline Engineering</t>
  </si>
  <si>
    <t>Need More Elaboration – Reframe as AI-Assisted Rule Analysis and Optimization</t>
  </si>
  <si>
    <t>Not Accepted – Not AI Relevant</t>
  </si>
  <si>
    <t>Not Accepted – Better as Automation / Rules</t>
  </si>
  <si>
    <t>Not Accepted – Better as Automation / Guardrailed Ops</t>
  </si>
  <si>
    <t>Not Accepted – Too Vague</t>
  </si>
  <si>
    <t>Not Accepted – No Clear Business Value</t>
  </si>
  <si>
    <t>Not Accepted – No Feasible Data Path</t>
  </si>
  <si>
    <t>Not Accepted – No Feasible Owner</t>
  </si>
  <si>
    <t>Not Accepted – Duplicate Without Differentiation</t>
  </si>
  <si>
    <t>Not Accepted – Technically Infeasible</t>
  </si>
  <si>
    <t>Not Accepted – Contradictory / Inconsistent Data</t>
  </si>
  <si>
    <t>Count of S.No.</t>
  </si>
  <si>
    <t>Column Labels</t>
  </si>
  <si>
    <t>Row Labels</t>
  </si>
  <si>
    <t>Not Accepted Idea</t>
  </si>
  <si>
    <t>Grand Total</t>
  </si>
  <si>
    <t>(blank)</t>
  </si>
  <si>
    <t>ADI</t>
  </si>
  <si>
    <t>Cloud Eng. &amp; Observ</t>
  </si>
  <si>
    <t>Cybersecurity</t>
  </si>
  <si>
    <t>DCX</t>
  </si>
  <si>
    <t>EAS</t>
  </si>
  <si>
    <t>Validation Feedback</t>
  </si>
  <si>
    <t>Validation Detail</t>
  </si>
  <si>
    <t>Count of Validation Feedback</t>
  </si>
  <si>
    <t>Accepted Idea Total</t>
  </si>
  <si>
    <t>More Elaboration Needed Total</t>
  </si>
  <si>
    <t>Not Accepted Idea Total</t>
  </si>
  <si>
    <t>S.No.</t>
  </si>
  <si>
    <t>Department</t>
  </si>
  <si>
    <t>Unit</t>
  </si>
  <si>
    <t>Use Case Asset ID</t>
  </si>
  <si>
    <t>Asset Name</t>
  </si>
  <si>
    <t>Asset description</t>
  </si>
  <si>
    <t>Asset Identification date</t>
  </si>
  <si>
    <t>SDLC Phase</t>
  </si>
  <si>
    <t>Asset Category</t>
  </si>
  <si>
    <t>Asset Subcategory</t>
  </si>
  <si>
    <t xml:space="preserve">Efforts with out AI </t>
  </si>
  <si>
    <t>Efforts with AI</t>
  </si>
  <si>
    <t>Business Benefits / Impact</t>
  </si>
  <si>
    <t>No. of Adoptions</t>
  </si>
  <si>
    <t>Implementation Guidelines</t>
  </si>
  <si>
    <t>Strategic Takeaways</t>
  </si>
  <si>
    <t>Owners / SPOC</t>
  </si>
  <si>
    <t>Remarks / Additonal Comments / Support needed / Dependancy</t>
  </si>
  <si>
    <t>Selected Use Case</t>
  </si>
  <si>
    <t>Current Status</t>
  </si>
  <si>
    <t>Tools / Platform Used</t>
  </si>
  <si>
    <t>Department SPOC</t>
  </si>
  <si>
    <t>Validation Notes</t>
  </si>
  <si>
    <t>Reality / Doability</t>
  </si>
  <si>
    <t>Suggestion for How to apply</t>
  </si>
  <si>
    <t>No. of Hours Saved with each Implementation *</t>
  </si>
  <si>
    <t>No. of Planned Implementaiton</t>
  </si>
  <si>
    <t>Timelines for Planned Implementaiton *</t>
  </si>
  <si>
    <t xml:space="preserve">No. of Projects who will use </t>
  </si>
  <si>
    <t>old Validation Feedback</t>
  </si>
  <si>
    <t>Why this case updated</t>
  </si>
  <si>
    <t>Status</t>
  </si>
  <si>
    <t>Calculated Hours Saved</t>
  </si>
  <si>
    <t>ADI-AI-0035</t>
  </si>
  <si>
    <t>Revamp PrimeFaces to SpringBoot&amp;Angular</t>
  </si>
  <si>
    <t>I have a use case to revamp some PrimeFaces application by migrating it to a Spring Boot backend with an Angular frontend, along with upgrading the platform from Java 8 to Java 21.
The objective is to modernize the architecture, improve performance, security, and maintainability, and align the application with current standards and long-term support technologies.
Please let me know if we can proceed with the technical assessment and next steps.</t>
  </si>
  <si>
    <t>1/27/2026</t>
  </si>
  <si>
    <t>Development</t>
  </si>
  <si>
    <t>Backend-Frontend</t>
  </si>
  <si>
    <t>Code Revamp</t>
  </si>
  <si>
    <t>1. Complex task that takes months to finish which need support
2. Faster delivery
3. Open opportunities to gain new projects from customers (Border Guard - GDP - SFES - SFPS) to migrate old JSF projects to SpringBoot</t>
  </si>
  <si>
    <t>Not often happens but takes long time and a lot of efforts</t>
  </si>
  <si>
    <t xml:space="preserve">1. Assessment
•	Inventory applications and modules
•	Analyze business logic, UI complexity, integrations
•	Check Java 8 → 21 compatibility
•	Estimate effort and define roadmap
2. Architecture
•	Backend: Spring Boot (REST, layered architecture)
•	Frontend: Angular (components, reactive forms)
•	Define API contracts (OpenAPI)
•	Set up security (Spring Security)
3. Setup
•	Configure Java 21, Angular environment
•	Initialize Spring Boot &amp; Angular projects
•	Set up CI/CD (optional)
4. Migration (Incremental)
•	Keep existing JSF running
•	Migrate modules one by one (start small)
•	Build new APIs + Angular UI
•	Gradually switch users
5. Refactoring
•	Move logic from JSF beans → Spring services
•	Replace legacy patterns (EJB, JSF scopes)
•	Implement validation &amp; error handling
6. Frontend
•	Rebuild UI in Angular (no direct migration)
•	Implement forms, validation, API integration
7. Java Upgrade
•	Upgrade to Java 21
•	Fix deprecated APIs &amp; update dependencies
8. Testing &amp; Deployment
•	Unit &amp; integration testing
•	Roll out per module and monitor 
</t>
  </si>
  <si>
    <t>Amr Ali Eshra - Ahmed Sherif</t>
  </si>
  <si>
    <r>
      <rPr>
        <b/>
        <sz val="11"/>
        <color rgb="FF000000"/>
        <rFont val="Aptos"/>
      </rPr>
      <t xml:space="preserve">Dependencies:
</t>
    </r>
    <r>
      <rPr>
        <sz val="11"/>
        <color rgb="FF000000"/>
        <rFont val="Aptos"/>
      </rPr>
      <t xml:space="preserve">- Access to the existing PrimeFaces application source code
- Availability of system documentation or functional specifications
</t>
    </r>
    <r>
      <rPr>
        <b/>
        <sz val="11"/>
        <color rgb="FF000000"/>
        <rFont val="Aptos"/>
      </rPr>
      <t xml:space="preserve">Support Needed:
</t>
    </r>
    <r>
      <rPr>
        <sz val="11"/>
        <color rgb="FF000000"/>
        <rFont val="Aptos"/>
      </rPr>
      <t xml:space="preserve">- Development environment configured for Java 21, Spring Boot, and Angular
- Access to the selected AI tools under evaluation
- Architecture review to define the target architecture and migration strategy
</t>
    </r>
    <r>
      <rPr>
        <b/>
        <sz val="11"/>
        <color rgb="FF000000"/>
        <rFont val="Aptos"/>
      </rPr>
      <t xml:space="preserve">Additional Remarks/Comments:
</t>
    </r>
    <r>
      <rPr>
        <sz val="11"/>
        <color rgb="FF000000"/>
        <rFont val="Aptos"/>
      </rPr>
      <t>AI tools can significantly accelerate:
- Legacy code understanding
- Component migration</t>
    </r>
  </si>
  <si>
    <r>
      <rPr>
        <b/>
        <sz val="11"/>
        <color rgb="FF000000"/>
        <rFont val="Aptos"/>
      </rPr>
      <t xml:space="preserve">Dev Stack:
</t>
    </r>
    <r>
      <rPr>
        <sz val="11"/>
        <color rgb="FF000000"/>
        <rFont val="Aptos"/>
      </rPr>
      <t xml:space="preserve">Java, Spring boot, JSF, REST API, and angular
</t>
    </r>
    <r>
      <rPr>
        <b/>
        <sz val="11"/>
        <color rgb="FF000000"/>
        <rFont val="Aptos"/>
      </rPr>
      <t xml:space="preserve">AI Tools:
</t>
    </r>
    <r>
      <rPr>
        <sz val="11"/>
        <color rgb="FF000000"/>
        <rFont val="Aptos"/>
      </rPr>
      <t>Github Copilot and Git repos</t>
    </r>
  </si>
  <si>
    <t>Ahmed Fadl</t>
  </si>
  <si>
    <t>Solid modernization case (PrimeFaces → Spring Boot/Angular, Java 8 → 21). AI can materially accelerate: codebase analysis, dependency mapping, migration inventory, test generation, and code-quality gates. No owner, effort baseline, or toolchain documented.</t>
  </si>
  <si>
    <t>High feasibility if scoped to AI-assisted migration phases rather than blind full conversion. Risk: hallucination of Java patterns if context prompts are weak. Mitigation: enforce mandatory code-review gate and automated test pass threshold before any AI-generated code is merged.</t>
  </si>
  <si>
    <t>1) Run static analysis on PrimeFaces codebase to produce migration inventory. 2) Define system context prompt with coding standards, Angular patterns, and Java 21 best practices. 3) Use AI to generate module-by-module migration stubs. 4) Mandatory PR review + SAST scan per module. 5) AI-generated unit/integration tests run in CI. 6) Track effort reduction vs baseline per sprint.</t>
  </si>
  <si>
    <t>implementation without AI expected to reach max 7 or 8 or average 5 months per project</t>
  </si>
  <si>
    <t>Needed to offer current products to new customers with modern technologies</t>
  </si>
  <si>
    <t>Done</t>
  </si>
  <si>
    <t>ADI-AI-0036</t>
  </si>
  <si>
    <t xml:space="preserve">Understand existing HLD and other LLDs </t>
  </si>
  <si>
    <t>be able to generate the new design suggestion with the same pattern. Also make sure that all arch. diagrams are generated accordingly</t>
  </si>
  <si>
    <t>1/28/2026</t>
  </si>
  <si>
    <t>Design</t>
  </si>
  <si>
    <t>Context understanding and generation - Non code</t>
  </si>
  <si>
    <t>1. Faster Architecture Design Preparation
2. Consistency Across Design Documents
3. Better Documentation Quality</t>
  </si>
  <si>
    <t>1) Analyze existing aggregate settlement design (cutoff/manual) and identify key components, flows, and integration points.
2) Define target instant settlement model by shifting to event-driven processing triggered per POS transaction.
3) Introduce reliable event ingestion layer (e.g., MQ) to handle transaction flow from Mepp and ensure resiliency.
4) Implement real-time merchant eligibility checks within UMP based on configured rules.
5) Orchestrate settlement flow through ESB to Cortex and Wallet Core for execution of instant fund transfer.
6) Ensure idempotency and duplicate handling using standard transaction identifiers (e.g., rrn, stan, TID).
7) Maintain compatibility with existing EOD reconciliation logic in WMS.
8) Validate system capacity and performance to handle high transaction volumes.
9) Implement monitoring, logging, and failure handling for end-to-end settlement flow.
10) Leverage AI tools to analyze existing HLD/LLD, extract patterns, and generate updated design diagrams, with mandatory architect review.</t>
  </si>
  <si>
    <t>Amr Morad</t>
  </si>
  <si>
    <r>
      <rPr>
        <b/>
        <sz val="11"/>
        <color rgb="FF000000"/>
        <rFont val="Calibri"/>
      </rPr>
      <t xml:space="preserve">Dependencies:
</t>
    </r>
    <r>
      <rPr>
        <sz val="11"/>
        <color rgb="FF000000"/>
        <rFont val="Calibri"/>
      </rPr>
      <t xml:space="preserve">- Access to existing HLD and LLD documentation
- Availability of architecture standards and documentation templates used
- Access to system integration documentation
where applicable
</t>
    </r>
    <r>
      <rPr>
        <b/>
        <sz val="11"/>
        <color rgb="FF000000"/>
        <rFont val="Calibri"/>
      </rPr>
      <t xml:space="preserve">
Support Needed:
</t>
    </r>
    <r>
      <rPr>
        <sz val="11"/>
        <color rgb="FF000000"/>
        <rFont val="Calibri"/>
      </rPr>
      <t xml:space="preserve">- Access to AI tools
- Access to design document repositories
- Alignment with architecture governance to validate generated designs
</t>
    </r>
    <r>
      <rPr>
        <b/>
        <sz val="11"/>
        <color rgb="FF000000"/>
        <rFont val="Calibri"/>
      </rPr>
      <t xml:space="preserve">
Additional Remarks/Comments:
</t>
    </r>
    <r>
      <rPr>
        <sz val="11"/>
        <color rgb="FF000000"/>
        <rFont val="Calibri"/>
      </rPr>
      <t>AI tools will be evaluated based on their ability to:
- Understand architectural documentation
- Extract system components and integration flows
- Generate structured design documents including architecture diagrams automatically</t>
    </r>
  </si>
  <si>
    <t>Implement instant settlement for POS merchant accounts configured at one of the fintechs with reference to previously designed and implemented aggregate settlement based on cutoff date/merchant manual action</t>
  </si>
  <si>
    <r>
      <t>Stack:</t>
    </r>
    <r>
      <rPr>
        <sz val="11"/>
        <color rgb="FF000000"/>
        <rFont val="Aptos"/>
      </rPr>
      <t xml:space="preserve">
- HLD/LLD design documents, could be Mermaid or PlantUML
- Code access</t>
    </r>
    <r>
      <rPr>
        <b/>
        <sz val="11"/>
        <color rgb="FF000000"/>
        <rFont val="Aptos"/>
      </rPr>
      <t xml:space="preserve">
AI Tools:</t>
    </r>
    <r>
      <rPr>
        <sz val="11"/>
        <color rgb="FF000000"/>
        <rFont val="Aptos"/>
      </rPr>
      <t xml:space="preserve">
Github Copilot and Git repos</t>
    </r>
  </si>
  <si>
    <t>Useful design-copilot case — ingest HLD/LLD, extract patterns, generate to-be options and diagrams. Feasible if source artifacts are available and architect review is mandatory. Risk: hallucinated architecture if context is underspecified. Missing: named owner, effort baseline, tool, selected status.</t>
  </si>
  <si>
    <t>Moderate-to-high feasibility when bounded to pattern extraction + draft generation only — never autonomous design decisions. Mandatory architect review gate before any generated artifact is baselined.</t>
  </si>
  <si>
    <t>1) Ingest existing HLD/LLD docs and extract structural patterns. 2) Define architecture persona prompt aligned to org standards. 3) Generate 3 draft to-be design variants. 4) Auto-generate architecture diagrams (C4/PlantUML). 5) Architect review and approval before baselining. 6) Log accepted vs rejected suggestions to improve prompt quality.</t>
  </si>
  <si>
    <t>I assume should not less than 20%</t>
  </si>
  <si>
    <t>End of May</t>
  </si>
  <si>
    <t>ADI-AI-0039</t>
  </si>
  <si>
    <t>Microservice Java Development using Spring Boot</t>
  </si>
  <si>
    <t>Develop Java microservice APIs using Spring Boot, leveraging AI, within the Alphas project (Fraud Detection Solution) context</t>
  </si>
  <si>
    <t>Backend</t>
  </si>
  <si>
    <t>Code Generation</t>
  </si>
  <si>
    <t>1. Faster delivery
2. Improve developer productivity
3. Standardized microservices architecture</t>
  </si>
  <si>
    <t>Develop the foundational and system context (frameworks, patterns, personas, etc.), along with the project-specific context and detailed user prompts containing Low-Level Design</t>
  </si>
  <si>
    <t>Faster delivery with consistent qualities</t>
  </si>
  <si>
    <t>Waleed Tayea</t>
  </si>
  <si>
    <r>
      <rPr>
        <b/>
        <sz val="11"/>
        <color rgb="FF000000"/>
        <rFont val="Aptos"/>
      </rPr>
      <t xml:space="preserve">Dependencies:
</t>
    </r>
    <r>
      <rPr>
        <sz val="11"/>
        <color rgb="FF000000"/>
        <rFont val="Aptos"/>
      </rPr>
      <t xml:space="preserve">- Availability of finalized API specifications
</t>
    </r>
    <r>
      <rPr>
        <b/>
        <sz val="11"/>
        <color rgb="FF000000"/>
        <rFont val="Aptos"/>
      </rPr>
      <t xml:space="preserve">Support needed:
</t>
    </r>
    <r>
      <rPr>
        <sz val="11"/>
        <color rgb="FF000000"/>
        <rFont val="Aptos"/>
      </rPr>
      <t xml:space="preserve">- Access to the selected AI tools under evaluation.
- Access to development environment and code repositories.
</t>
    </r>
    <r>
      <rPr>
        <b/>
        <sz val="11"/>
        <color rgb="FF000000"/>
        <rFont val="Aptos"/>
      </rPr>
      <t xml:space="preserve">Additional remarks and comments:
</t>
    </r>
    <r>
      <rPr>
        <sz val="11"/>
        <color rgb="FF000000"/>
        <rFont val="Aptos"/>
      </rPr>
      <t xml:space="preserve">This use case could be used for evaluating AI agents in backend development scenarios including: code generation, test generation, API documentation, </t>
    </r>
    <r>
      <rPr>
        <sz val="11"/>
        <color rgb="FFFF0000"/>
        <rFont val="Aptos"/>
      </rPr>
      <t xml:space="preserve">code refactoring, </t>
    </r>
    <r>
      <rPr>
        <sz val="11"/>
        <color rgb="FF000000"/>
        <rFont val="Aptos"/>
      </rPr>
      <t>and debugging assistance</t>
    </r>
  </si>
  <si>
    <t>In-Progress</t>
  </si>
  <si>
    <r>
      <t>Dev Stack:</t>
    </r>
    <r>
      <rPr>
        <sz val="11"/>
        <color rgb="FF000000"/>
        <rFont val="Aptos"/>
      </rPr>
      <t xml:space="preserve">
Java Spring boot, REST API</t>
    </r>
    <r>
      <rPr>
        <b/>
        <sz val="11"/>
        <color rgb="FF000000"/>
        <rFont val="Aptos"/>
      </rPr>
      <t xml:space="preserve">
AI Tools:</t>
    </r>
    <r>
      <rPr>
        <sz val="11"/>
        <color rgb="FF000000"/>
        <rFont val="Aptos"/>
      </rPr>
      <t xml:space="preserve">
Github Copilot and Git repos</t>
    </r>
  </si>
  <si>
    <t>Strong engineering case; add named owner, selected use case, and tool.</t>
  </si>
  <si>
    <t>Strong engineering. Very doable if bounded to scaffolding, patterns, tests, API contracts, code review, and documentation. Must not bypass engineering standards.</t>
  </si>
  <si>
    <t>Prepare system context, coding standards, API conventions, LLD prompts, reference implementation, AI-assisted code generation, PR review, security scan, automated test gates</t>
  </si>
  <si>
    <t>10-15%</t>
  </si>
  <si>
    <t>ADI-BA-01</t>
  </si>
  <si>
    <t>Stakeholder Interview Synthesis</t>
  </si>
  <si>
    <t>AI-powered analysis and synthesis of stakeholder interview notes into structured requirements</t>
  </si>
  <si>
    <t>Analysis</t>
  </si>
  <si>
    <t>Requirements Elicitation</t>
  </si>
  <si>
    <t>Stakeholder Analysis</t>
  </si>
  <si>
    <t>1. Faster requirements consolidation
2. Improved requirements quality and traceability
3. Better alignment across stakeholders</t>
  </si>
  <si>
    <t>Upload interview transcripts/notes; AI extracts requirements; BA validates and prioritizes</t>
  </si>
  <si>
    <t>Ensures no stakeholder input is missed</t>
  </si>
  <si>
    <t>Mostafa Alqazaz</t>
  </si>
  <si>
    <r>
      <t>Dependencies:</t>
    </r>
    <r>
      <rPr>
        <sz val="11"/>
        <color rgb="FF000000"/>
        <rFont val="Calibri"/>
      </rPr>
      <t xml:space="preserve">
- Availability of interview notes, workshop notes, transcripts, or meeting minutes
- Access to requirement templates or documentation patterns used by Ejada</t>
    </r>
    <r>
      <rPr>
        <b/>
        <sz val="11"/>
        <color rgb="FF000000"/>
        <rFont val="Calibri"/>
      </rPr>
      <t xml:space="preserve">
Support Needed:</t>
    </r>
    <r>
      <rPr>
        <sz val="11"/>
        <color rgb="FF000000"/>
        <rFont val="Calibri"/>
      </rPr>
      <t xml:space="preserve">
- Access to AI tools capable of summarization and requirement extraction
- Clear target format for outputs such as BRD, user stories, epics
- Review support from BA / architect / business owner</t>
    </r>
    <r>
      <rPr>
        <b/>
        <sz val="11"/>
        <color rgb="FF000000"/>
        <rFont val="Calibri"/>
      </rPr>
      <t xml:space="preserve">
Additional Remarks/Comments:</t>
    </r>
    <r>
      <rPr>
        <sz val="11"/>
        <color rgb="FF000000"/>
        <rFont val="Calibri"/>
      </rPr>
      <t xml:space="preserve">
This use case is very suitable for evaluating AI in:
- summarization
- requirement extraction
- categorization
- conflict identification
- drafting of structured business artifacts</t>
    </r>
  </si>
  <si>
    <r>
      <t>Input Sources</t>
    </r>
    <r>
      <rPr>
        <sz val="11"/>
        <color rgb="FF000000"/>
        <rFont val="Aptos"/>
      </rPr>
      <t xml:space="preserve">
- Interview notes
- Workshop minutes
- Meeting summaries</t>
    </r>
    <r>
      <rPr>
        <b/>
        <sz val="11"/>
        <color rgb="FF000000"/>
        <rFont val="Aptos"/>
      </rPr>
      <t xml:space="preserve">
Target Artifacts</t>
    </r>
    <r>
      <rPr>
        <sz val="11"/>
        <color rgb="FF000000"/>
        <rFont val="Aptos"/>
      </rPr>
      <t xml:space="preserve">
- BRD sections
- Requirement lists
- User stories</t>
    </r>
    <r>
      <rPr>
        <b/>
        <sz val="11"/>
        <color rgb="FF000000"/>
        <rFont val="Aptos"/>
      </rPr>
      <t xml:space="preserve">
AI Tools</t>
    </r>
    <r>
      <rPr>
        <sz val="11"/>
        <color rgb="FF000000"/>
        <rFont val="Aptos"/>
      </rPr>
      <t xml:space="preserve">
Github Copilot and Git repos</t>
    </r>
  </si>
  <si>
    <t>Good BA use case; add KPI, owner, tools, and adoption path.</t>
  </si>
  <si>
    <t>Very practical and reliable BA use case. High feasibility if transcripts/notes are available and confidentiality is controlled.</t>
  </si>
  <si>
    <t>Upload transcripts/notes, generate requirements themes, decisions, conflicts, assumptions, open questions, then BA review and prioritization workshop</t>
  </si>
  <si>
    <t>ADI-BA-05</t>
  </si>
  <si>
    <t>Business Rules Documentation</t>
  </si>
  <si>
    <t>AI-assisted extraction and documentation of business rules from requirements and policies</t>
  </si>
  <si>
    <t>Requirements Analysis</t>
  </si>
  <si>
    <t>Business Rules</t>
  </si>
  <si>
    <t>1. Improved Clarity of Business Logic
2. Reduced Requirement Ambiguity
3. Faster Documentation Preparation</t>
  </si>
  <si>
    <t>Provide requirement docs and policies; AI extracts rules; BA validates logic</t>
  </si>
  <si>
    <t>Ensures all rules are explicitly documented</t>
  </si>
  <si>
    <r>
      <t>Dependencies:</t>
    </r>
    <r>
      <rPr>
        <sz val="11"/>
        <color rgb="FF000000"/>
        <rFont val="Calibri"/>
      </rPr>
      <t xml:space="preserve">
- Access to source documents such as BRDs and requirement specifications
- Availability of domain SMEs to validate extracted rules.</t>
    </r>
    <r>
      <rPr>
        <b/>
        <sz val="11"/>
        <color rgb="FF000000"/>
        <rFont val="Calibri"/>
      </rPr>
      <t xml:space="preserve">
Support Needed:</t>
    </r>
    <r>
      <rPr>
        <sz val="11"/>
        <color rgb="FF000000"/>
        <rFont val="Calibri"/>
      </rPr>
      <t xml:space="preserve">
- Access to AI tools capable of analyzing large text documents and extracting structured information
- Definition of the target business rule documentation format
- Review process with business analysts and architects</t>
    </r>
    <r>
      <rPr>
        <b/>
        <sz val="11"/>
        <color rgb="FF000000"/>
        <rFont val="Calibri"/>
      </rPr>
      <t xml:space="preserve">
Additional Comments/Remarks:</t>
    </r>
    <r>
      <rPr>
        <sz val="11"/>
        <color rgb="FF000000"/>
        <rFont val="Calibri"/>
      </rPr>
      <t xml:space="preserve">
This use case is particularly useful in domains where business logic is complex and heavily rule-driven</t>
    </r>
  </si>
  <si>
    <r>
      <t>Input Sources</t>
    </r>
    <r>
      <rPr>
        <sz val="11"/>
        <color rgb="FF000000"/>
        <rFont val="Aptos"/>
      </rPr>
      <t xml:space="preserve">
- business requirement documents (BRD)
- Functional specifications
- Operational policies
- Regulatory documents</t>
    </r>
    <r>
      <rPr>
        <b/>
        <sz val="11"/>
        <color rgb="FF000000"/>
        <rFont val="Aptos"/>
      </rPr>
      <t xml:space="preserve">
Target Artifacts</t>
    </r>
    <r>
      <rPr>
        <sz val="11"/>
        <color rgb="FF000000"/>
        <rFont val="Aptos"/>
      </rPr>
      <t xml:space="preserve">
- business rule catalog
- rule documentation tables
- traceability matrices
- rule validation checklists</t>
    </r>
    <r>
      <rPr>
        <b/>
        <sz val="11"/>
        <color rgb="FF000000"/>
        <rFont val="Aptos"/>
      </rPr>
      <t xml:space="preserve">
AI Tools</t>
    </r>
    <r>
      <rPr>
        <sz val="11"/>
        <color rgb="FF000000"/>
        <rFont val="Aptos"/>
      </rPr>
      <t xml:space="preserve">
GitHub Copilot</t>
    </r>
  </si>
  <si>
    <t>Useful rules extraction; add measurable impact, owner, and tool.</t>
  </si>
  <si>
    <t>Strong AI use case. Especially good when requirements and policy documents are large or inconsistent. Needs human validation because rule extraction can miss exceptions.</t>
  </si>
  <si>
    <t>Ingest policies/BRDs, extract candidate rules, normalize into decision tables, map rule source references, BA/SME review and sign-off</t>
  </si>
  <si>
    <t>ADI-BA-08</t>
  </si>
  <si>
    <t>Use Case Documentation</t>
  </si>
  <si>
    <t>AI-assisted creation of detailed use cases with all flows (main, alternative, exception)</t>
  </si>
  <si>
    <t>Use Case Modeling</t>
  </si>
  <si>
    <t>1. Faster Documentation of Functional Behavior
2. Improved Requirement Clarity
3. Reduced Manual Effort for Analysts</t>
  </si>
  <si>
    <t>Describe user-system interactions; AI generates structured use cases; BA validates business logic</t>
  </si>
  <si>
    <t>Ensures all edge cases are documented systematically</t>
  </si>
  <si>
    <r>
      <rPr>
        <b/>
        <sz val="11"/>
        <color rgb="FF000000"/>
        <rFont val="Aptos"/>
      </rPr>
      <t xml:space="preserve">Input Sources
</t>
    </r>
    <r>
      <rPr>
        <sz val="11"/>
        <color rgb="FF000000"/>
        <rFont val="Aptos"/>
      </rPr>
      <t xml:space="preserve">- Interview notes
- Workshop minutes
- Meeting summaries
</t>
    </r>
    <r>
      <rPr>
        <b/>
        <sz val="11"/>
        <color rgb="FF000000"/>
        <rFont val="Aptos"/>
      </rPr>
      <t xml:space="preserve">
Target Artifacts
</t>
    </r>
    <r>
      <rPr>
        <sz val="11"/>
        <color rgb="FF000000"/>
        <rFont val="Aptos"/>
      </rPr>
      <t xml:space="preserve">- BRD sections
- Requirement lists
- User stories
</t>
    </r>
    <r>
      <rPr>
        <b/>
        <sz val="11"/>
        <color rgb="FF000000"/>
        <rFont val="Aptos"/>
      </rPr>
      <t xml:space="preserve">
AI Tools
</t>
    </r>
    <r>
      <rPr>
        <sz val="11"/>
        <color rgb="FF000000"/>
        <rFont val="Aptos"/>
      </rPr>
      <t>Github Copilot and Git repos</t>
    </r>
  </si>
  <si>
    <t>Useful documentation aid; add KPI, owner, and implementation tooling.</t>
  </si>
  <si>
    <t>Useful and doable. Good documentation accelerator, but should stay human-reviewed because completeness depends on context quality.</t>
  </si>
  <si>
    <t>Feed business process description and actors, generate main/alternative/exception flows, identify missing preconditions/postconditions, BA validation pass</t>
  </si>
  <si>
    <t>Public Cloud and Modernization</t>
  </si>
  <si>
    <t>Terraform Code Generation &amp; Review</t>
  </si>
  <si>
    <t>Terraform: IaC code generation (Terraform, etc.), Creating Terraform modules from natural language requirements, Converting Terraform modules between cloud providers (e.g., AWS to GCP), code review and standardization - identifying hardcoded values, inconsistent variable usage, and enforcing coding standards</t>
  </si>
  <si>
    <t>Code &amp; Infrastructure Generation</t>
  </si>
  <si>
    <t xml:space="preserve"> Faster infrastructure provisioning, reduced syntax errors, accelerated deployment cycles</t>
  </si>
  <si>
    <t>Use as starting point, review for security/standards, test in non-prod first</t>
  </si>
  <si>
    <t>AI handles well, human review essential for security and architecture</t>
  </si>
  <si>
    <t>Requires peer review, must align with org standards</t>
  </si>
  <si>
    <t xml:space="preserve">Microsoft Copilot </t>
  </si>
  <si>
    <t>Hisham Elrakaiby</t>
  </si>
  <si>
    <t>In-progress IaC use case with clear scope: Terraform generation, cross-cloud conversion, code review, standards enforcement. Copilot confirmed. Gap: no named individual owner and no actual hours-saved baseline documented.</t>
  </si>
  <si>
    <t>High feasibility. Terraform generation from natural language is well-validated. Risk: generated IaC may contain insecure defaults. Mitigation: mandatory tfsec/Checkov scan in non-prod before any generated code is applied to production.</t>
  </si>
  <si>
    <t>1) Define prompt template with org naming conventions, tagging policy, security baseline. 2) Engineer describes infra requirement in natural language. 3) AI generates Terraform module. 4) Automated tfsec/Checkov scan — block on HIGH findings. 5) Engineer reviews and tests in non-prod. 6) Merge to IaC repo after peer review. 7) Track: time-to-deployable-IaC before vs after.</t>
  </si>
  <si>
    <t>CI/CD Pipeline Automation</t>
  </si>
  <si>
    <t>CI/CD pipeline automation and configuration</t>
  </si>
  <si>
    <t>Faster pipelines setup, standardized deployments, reduced configuration errors</t>
  </si>
  <si>
    <t>Review security practices, validate against org CI/CD standards, test in isolated environment</t>
  </si>
  <si>
    <t>Good for common pipeline patterns, customize for specific workflows</t>
  </si>
  <si>
    <t>The use case is technically feasible, but in its current form it is mostly deterministic DevOps engineering rather than a distinct AI-led use case.
Most enterprise value comes from pipeline templates, golden paths, reusable YAML, policy checks, and platform standards.
AI is relevant only when scoped to pipeline drafting, failure explanation, stage recommendation, test generation, or misconfiguration summarization under human and policy control.</t>
  </si>
  <si>
    <r>
      <t>High doability operationally; Medium AI fit.</t>
    </r>
    <r>
      <rPr>
        <sz val="11"/>
        <color rgb="FF000000"/>
        <rFont val="Arial"/>
        <family val="2"/>
      </rPr>
      <t xml:space="preserve"> Strong DevOps applicability, but AI should be limited to authoring assistance, troubleshooting, recommendation, and summarization. AI should not own deployment logic, secret handling, approval gates, or production execution end-to-end.</t>
    </r>
  </si>
  <si>
    <r>
      <t xml:space="preserve">Use it as an </t>
    </r>
    <r>
      <rPr>
        <b/>
        <sz val="11"/>
        <color rgb="FF000000"/>
        <rFont val="Arial"/>
        <family val="2"/>
      </rPr>
      <t>AI-assisted DevOps accelerator</t>
    </r>
    <r>
      <rPr>
        <sz val="11"/>
        <color rgb="FF000000"/>
        <rFont val="Arial"/>
        <family val="2"/>
      </rPr>
      <t>: generate starter pipeline YAML, explain failed pipeline runs, recommend missing controls, and summarize misconfigurations. Keep final execution rule-based through approved CI/CD platforms with security scanning, policy validation, and human approval.</t>
    </r>
  </si>
  <si>
    <t>NA</t>
  </si>
  <si>
    <t>Updated from Not Accepted because the case does have valid AI assistance potential when narrowed to engineering support and decision support, rather than autonomous pipeline automation. It is not strong enough for full acceptance yet, but it is valid as a reframed AI-assisted use case.</t>
  </si>
  <si>
    <t>Cloud Resource Bulk Operations</t>
  </si>
  <si>
    <t>Performing bulk operations (e.g., 'stop all VMs with tag X'), Quick configuration checks across cloud resources</t>
  </si>
  <si>
    <t>Agent-Based Actions &amp; Quick Commands</t>
  </si>
  <si>
    <t xml:space="preserve"> Saves time on repetitive tasks, reduces manual errors, enables quick emergency actions</t>
  </si>
  <si>
    <t>Test commands on single resource first, verify target scope before execution, implement dry-run</t>
  </si>
  <si>
    <t>High efficiency for routine operations but needs safeguards</t>
  </si>
  <si>
    <t>Requires proper authentication and RBAC</t>
  </si>
  <si>
    <t>This use case is operationally valuable but is fundamentally a cloud automation and runbook orchestration capability, not a strong governed AI use case.
Bulk actions such as stopping VMs, applying tags, or checking configurations are deterministic, high-risk operations that require strict RBAC, dry-run, scoped targeting, auditability, and approval workflow. Natural-language interpretation may help, but AI should not be the primary execution layer.</t>
  </si>
  <si>
    <r>
      <t>High doability operationally; Low-Medium AI fit.</t>
    </r>
    <r>
      <rPr>
        <sz val="11"/>
        <color rgb="FF000000"/>
        <rFont val="Arial"/>
        <family val="2"/>
      </rPr>
      <t xml:space="preserve"> The operational capability is real and useful, but AI fit is weak unless narrowed to intent interpretation, impact preview, or operator assistance. Autonomous execution through AI is not appropriate in enterprise cloud operations.</t>
    </r>
  </si>
  <si>
    <r>
      <t xml:space="preserve">Keep as </t>
    </r>
    <r>
      <rPr>
        <b/>
        <sz val="11"/>
        <color rgb="FF000000"/>
        <rFont val="Arial"/>
        <family val="2"/>
      </rPr>
      <t>guardrailed ops automation</t>
    </r>
    <r>
      <rPr>
        <sz val="11"/>
        <color rgb="FF000000"/>
        <rFont val="Arial"/>
        <family val="2"/>
      </rPr>
      <t>. Optionally use AI only for command drafting, impact summarization, and approval support. Execution must remain scripted, policy-controlled, and human-approved through CLI, automation accounts, Functions/Lambda, or orchestration tools. Re-submit only if reframed toward anomaly detection, summarization, or decision support.</t>
    </r>
  </si>
  <si>
    <t>60-70%</t>
  </si>
  <si>
    <t>Case remains Not Accepted because reassessment confirmed that the core value is deterministic operations automation, not AI adoption. No sufficient AI-specific capability was identified to justify inclusion in the governed AI portfolio.</t>
  </si>
  <si>
    <t>Infrastructure Discovery &amp; Documentation</t>
  </si>
  <si>
    <t xml:space="preserve">Discovery and Documentiation: automated discovery and inventory tasks, environments scanning for insights, generating environment documentation and instructions, creating visual representations of infrastructure/architecture, auto-generating runbooks from actual infrastructure configurations, </t>
  </si>
  <si>
    <t>Speeds up discovery phase, maintains up-to-date asset inventory, reduces manual documentation effort</t>
  </si>
  <si>
    <t xml:space="preserve"> Schedule regular scans, validate completeness</t>
  </si>
  <si>
    <t>Efficient for baseline inventory but requires regular manual validations</t>
  </si>
  <si>
    <t xml:space="preserve"> May need read-only service account, consider rate limits</t>
  </si>
  <si>
    <t>Clear use case: auto-discovery of cloud assets, runbook generation from live infrastructure configs, up-to-date inventory maintenance. In-progress, Copilot confirmed. Gap: no named individual owner and no baseline hours-saved metric.</t>
  </si>
  <si>
    <t>High feasibility. Infrastructure scanning → documentation is low-risk, high-value. Output is advisory/documentary — no execution risk. Well-suited for scheduled runs.</t>
  </si>
  <si>
    <t>1) Define scan scope and cloud account access (read-only IAM). 2) Schedule automated discovery scans (weekly). 3) AI generates: asset inventory, dependency maps, runbook drafts, architecture summaries. 4) Cloud engineer validates completeness. 5) Publish to shared wiki/CMDB. 6) KPI: documentation currency % and hours saved per discovery cycle.</t>
  </si>
  <si>
    <t>Performance Diagnostics &amp; Troubleshooting</t>
  </si>
  <si>
    <t>Performance analysis: Root cause analysis for incidents by correlating multiple data sources,  performance bottleneck identification in K8s clusters or DBs, explaining error messages in context of specific environments</t>
  </si>
  <si>
    <t>Troubleshooting &amp; Analysis</t>
  </si>
  <si>
    <t>Reduces MTTR, improves incident understanding, may prevent recurrence</t>
  </si>
  <si>
    <t xml:space="preserve"> </t>
  </si>
  <si>
    <t>Provide relevant context, verify conclusions, document for post-mortems</t>
  </si>
  <si>
    <t>Useful correlation tool but human expertise needed for final diagnosis</t>
  </si>
  <si>
    <t>Requires access to logs, metrics, and incident history</t>
  </si>
  <si>
    <t>Clear and feasible AI use case with meaningful delivery value. Best advanced through a controlled pilot to validate effort saving, quality improvement, and review effort before broader rollout.</t>
  </si>
  <si>
    <t>High feasibility. The use case has a clear business problem, a valid AI role, and a workable delivery path if grounded on approved inputs and reviewed by the responsible SME/lead before release.</t>
  </si>
  <si>
    <t>1) Pilot on one application/API scope with approved requirements and expected results.
2) Track coverage improvement, preparation effort, and escaped defects.
3) Reuse validated scenarios/prompts inside the QE repository.</t>
  </si>
  <si>
    <t>Updated from More Elaboration Needed to Accepted Idea because the row now provides enough business value, AI fit, feasibility, and implementation readiness to move forward under governed review.</t>
  </si>
  <si>
    <t>Cost Analysis &amp; Capacity Planning</t>
  </si>
  <si>
    <t>Utilization and Cost: cost anomaly detection and explanation, cloud Discounts analysis and recommendations (e.g. GCP's CUDs), predicting capacity needs based on historical trends, analyzing resource utilization patterns and recommending rightsizing</t>
  </si>
  <si>
    <t>Capacity Planning &amp; Cost Optimization</t>
  </si>
  <si>
    <t xml:space="preserve"> Prevents budget overruns, identifies waste, supports cost optimization</t>
  </si>
  <si>
    <t>Set baseline thresholds, investigate anomalies promptly, track trends</t>
  </si>
  <si>
    <t>Effective early warning system for cost issues</t>
  </si>
  <si>
    <t>Should integrate with billing alerts, may need historical cost data, needs testing</t>
  </si>
  <si>
    <t>Cloud Security &amp; Compliance Review</t>
  </si>
  <si>
    <t>Security practices: Cloud security policy review and gap analysis, Generating compliance evidence documentation (helpful for audits and NCA requirements), Cloud IAM policy analysis and recommendations, Vulnerability remediation guidance with context-aware fixes</t>
  </si>
  <si>
    <t>Security &amp; Compliance</t>
  </si>
  <si>
    <t>Strengthens security posture, ensures compliance, identifies vulnerabilities, reduces audit preparation time, ensures completeness, maintains compliance</t>
  </si>
  <si>
    <t>Cross-reference with security standards, prioritize findings, validate recommendations, Verify evidence accuracy, organize by control framework, update regularly</t>
  </si>
  <si>
    <t>Helpful for initial review but requires security expertise for remediation, streamlines compliance documentation but needs auditor validation</t>
  </si>
  <si>
    <t>Should align with NCA ECC and organizational security policies, must be version-controlled</t>
  </si>
  <si>
    <t>1) Start with one approved artifact set and a fixed output template.
2) Pilot on a single project/workshop and measure time saved plus review corrections.
3) Promote validated prompt packs and review checklist into the BA knowledge base.</t>
  </si>
  <si>
    <t>Firewall Rules Management</t>
  </si>
  <si>
    <t>Reviewing and optimizing firewall rules across Shared VPC</t>
  </si>
  <si>
    <t>Configuration Management</t>
  </si>
  <si>
    <t>Improves security posture, reduces rule complexity, identifies unused rules</t>
  </si>
  <si>
    <t>Document all changes, verify impact on traffic, test before applying</t>
  </si>
  <si>
    <t>Helps maintain clean firewall configuration</t>
  </si>
  <si>
    <t>Requires network traffic analysis</t>
  </si>
  <si>
    <t>In its current wording, this looks like standard firewall governance and network/security engineering. However, there is credible AI value if the use case is narrowed to rule analysis rather than automatic change execution.
AI can support duplicate-rule detection, stale-rule identification, access-path summarization, risk explanation, and recommendation generation, but not unsupervised rule modification in production.</t>
  </si>
  <si>
    <r>
      <t>High doability operationally; Medium-High AI fit if focused on analysis.</t>
    </r>
    <r>
      <rPr>
        <sz val="11"/>
        <color rgb="FF000000"/>
        <rFont val="Arial"/>
        <family val="2"/>
      </rPr>
      <t xml:space="preserve"> Strong technical applicability when flow logs, policy metadata, and ownership context are available. AI fit becomes valid only when used for analysis, rationalization, and human decision support.</t>
    </r>
  </si>
  <si>
    <r>
      <t xml:space="preserve">Reframe as </t>
    </r>
    <r>
      <rPr>
        <b/>
        <sz val="11"/>
        <color rgb="FF000000"/>
        <rFont val="Arial"/>
        <family val="2"/>
      </rPr>
      <t>AI-assisted firewall rule review and optimization support</t>
    </r>
    <r>
      <rPr>
        <sz val="11"/>
        <color rgb="FF000000"/>
        <rFont val="Arial"/>
        <family val="2"/>
      </rPr>
      <t>. Use AI to analyze logs and policy sets, identify redundant or overly broad rules, summarize likely impact, and propose cleanup recommendations for security/network team review. Keep actual rule changes under formal change control and human approval.</t>
    </r>
  </si>
  <si>
    <t>Updated from Not Accepted because the original framing was too execution-oriented. After reassessment, the case shows valid AI applicability in analysis, explanation, and policy optimization support, but still needs better scope definition before it can be accepted.</t>
  </si>
  <si>
    <t>Configuration Drift Detection</t>
  </si>
  <si>
    <t>Comparing configurations across environments to catch drift</t>
  </si>
  <si>
    <t>Ensures environment consistency, catches unauthorized changes, supports change management</t>
  </si>
  <si>
    <t xml:space="preserve"> Define expected state, automate comparison, alert on significant drift</t>
  </si>
  <si>
    <t>Maintains configuration integrity across environments</t>
  </si>
  <si>
    <t>Should integrate with IaC workflows, needs baseline definitions</t>
  </si>
  <si>
    <t>Pure drift detection is deterministic and should rely on IaC baselines, cloud inventory, config comparison, and policy engines.
However, this case becomes a valid AI use case when AI is applied to drift impact analysis, noise reduction, classification of expected vs suspicious changes, probable root-cause inference, prioritization, and remediation recommendation. This is the strongest AI candidate among the four.</t>
  </si>
  <si>
    <r>
      <t>High doability operationally; Medium-High AI fit.</t>
    </r>
    <r>
      <rPr>
        <sz val="11"/>
        <color rgb="FF000000"/>
        <rFont val="Arial"/>
        <family val="2"/>
      </rPr>
      <t xml:space="preserve"> The deterministic detection layer is mature and feasible; AI adds meaningful value in triage, context enrichment, prioritization, and operational decision support. This makes it suitable for pilot under controlled scope.</t>
    </r>
  </si>
  <si>
    <r>
      <t xml:space="preserve">Implement as </t>
    </r>
    <r>
      <rPr>
        <b/>
        <sz val="11"/>
        <color rgb="FF000000"/>
        <rFont val="Arial"/>
        <family val="2"/>
      </rPr>
      <t>AI-enhanced drift intelligence</t>
    </r>
    <r>
      <rPr>
        <sz val="11"/>
        <color rgb="FF000000"/>
        <rFont val="Arial"/>
        <family val="2"/>
      </rPr>
      <t>. Use standard tools for actual drift detection, then apply AI to classify drift severity, summarize risk, infer likely cause, and recommend remediation. Start with one cloud/platform scope, one baseline source of truth, and human-validated outputs before broader rollout.</t>
    </r>
  </si>
  <si>
    <t>Updated from Not Accepted because reassessment identified a legitimate AI layer on top of deterministic drift detection. Unlike the other cases, this one has clear AI value in triage and decision support, making it suitable for pilot rather than rejection.</t>
  </si>
  <si>
    <t>Cloud Best Practices Knowledge</t>
  </si>
  <si>
    <t>Quick answers about cloud platforms' best practices without searching documentation</t>
  </si>
  <si>
    <t>Knowledge Retrieval</t>
  </si>
  <si>
    <t>Saves research time, accelerates decision-making, improves implementation quality</t>
  </si>
  <si>
    <t>Verify against official documentation, consider context, cross-check critical decisions</t>
  </si>
  <si>
    <t>Efficient knowledge retrieval but validate for production use</t>
  </si>
  <si>
    <t>Should not replace official documentation for critical implementations</t>
  </si>
  <si>
    <t>Microsoft Copilot</t>
  </si>
  <si>
    <t>1) Restrict first use to read-only analysis, recommendations, or dry-run output.
2) Validate in non-production and document approval gates before operational use.
3) Convert proven outputs into governed templates/runbooks rather than free-form prompting.</t>
  </si>
  <si>
    <t>ServiceNow</t>
  </si>
  <si>
    <t xml:space="preserve">AI-Requirements Gathering automation </t>
  </si>
  <si>
    <t>Using tools like Microsoft Copilot:
- Convert workshop transcripts into structured requirements
- Draft BRDs, FSDs, and user stories automatically
- Summarize stakeholder meetings
- Generate process documentation
- Create RACI matrices and test scenarios</t>
  </si>
  <si>
    <t>Design Automation</t>
  </si>
  <si>
    <t>Reduces BA documentation effort by 30–50%</t>
  </si>
  <si>
    <t>Implementation Guidelines: 1) Record &amp; transcribe workshop. 2) Feed to Copilot with SN context. 3) AI generates BRD/stories/RACI. 4) BA reviews &amp; approves. 5) Approved items to backlog. 6) Track effort delta</t>
  </si>
  <si>
    <t>Test senarios Auto-generations</t>
  </si>
  <si>
    <t>-Convert BRD / User Stories into structured test cases
-Generate positive &amp; negative scenarios
-Create boundary test conditions
-Produce UAT scripts</t>
  </si>
  <si>
    <t>Testing</t>
  </si>
  <si>
    <t>Test Automation</t>
  </si>
  <si>
    <t>Saves 40–60% of test design effort.</t>
  </si>
  <si>
    <t>Implementation Guidelines: 1) Confirm Now Assist license. 2) Feed stories/BRD to Now Assist. 3) AI generates test cases. 4) QA lead reviews &amp; approves. 5) Load to ATF. 6) Track coverage %</t>
  </si>
  <si>
    <t>Microsoft Copilot + ServiceNow ATF + ServiceNow Now Assist (requires Licenses)</t>
  </si>
  <si>
    <t>BCDR</t>
  </si>
  <si>
    <t>AI-Powered BIA Analyser</t>
  </si>
  <si>
    <t>AI-powered tool that guides stakeholders through a structured questionnaire and automatically produces a professional Business Impact Analysis (BIA) report — identifying critical systems, business dependencies, and recovery priorities. Serves all streams including Cloud, Cybersecurity, Enterprise Apps, and Managed Services from a single exercise.</t>
  </si>
  <si>
    <t>Business Analysis</t>
  </si>
  <si>
    <t>BIA &amp; Criticality Discovery</t>
  </si>
  <si>
    <t>6 -8 weeks</t>
  </si>
  <si>
    <t>1-2 weeks</t>
  </si>
  <si>
    <t>Significantly reduces BIA project delivery time. Reduces man-hours per engagement. Single exercise serves all streams. Billable as standalone AI Discovery Service.</t>
  </si>
  <si>
    <t>All client-facing BCDR engagements</t>
  </si>
  <si>
    <t>Stakeholders fill a structured questionnaire. Responses fed into AI. AI generates BIA report automatically. Output reviewed and delivered as PDF/Word.</t>
  </si>
  <si>
    <t>Replaces weeks of manual workshops with an AI-driven exercise. Consistent, auditable output every time.</t>
  </si>
  <si>
    <t>Internally built AI product. Not dependent on public AI tools. Deployable within client's private cloud environment.</t>
  </si>
  <si>
    <t>AI-powered BIA Product, Generative AI (LLM), Microsoft Teams, SharePoint</t>
  </si>
  <si>
    <t>Excellent BCDR product: structured questionnaire → AI-generated professional BIA report. Effort from 6–8 weeks to 1–2 weeks. Billable as standalone AI Discovery Service. Gap: no named individual product owner; no pilot client identified.</t>
  </si>
  <si>
    <t>High feasibility. Questionnaire-to-report generation is reliable LLM pattern. BIA content is structured and amenable to template-driven generation. Risk: regulatory acceptability of AI-generated BIA must be confirmed for SAMA/NCA-regulated clients.</t>
  </si>
  <si>
    <t>1) Assign individual product owner. 2) Build structured questionnaire: critical systems, business processes, dependencies, RPO/RTO targets. 3) AI generates BIA report from responses (Word/PDF). 4) Consultant reviews and signs off. 5) Pilot with one existing BCDR client. 6) KPI: delivery time per BIA engagement before vs after; client satisfaction score.</t>
  </si>
  <si>
    <t>AI-Powered Backup Compliance Auditor</t>
  </si>
  <si>
    <t>AI-powered tool that analyses an organisation's backup and replication configuration, identifies unprotected systems, policy violations, and compliance gaps against SAMA, NCA, and ISO 22301 requirements. Supports leading backup platforms including Veeam, Commvault, and Veritas. Client exports their configuration in one click — AI produces a full audit report automatically.</t>
  </si>
  <si>
    <t>BCDR Compliance</t>
  </si>
  <si>
    <t>Backup &amp; Replication Audit</t>
  </si>
  <si>
    <t>3–5 days</t>
  </si>
  <si>
    <t>Few hours</t>
  </si>
  <si>
    <t>Identifies backup compliance gaps before an auditor does. Finds critical systems not covered by any backup or replication job. Produces regulator-ready audit report for SAMA, NCA, ISO 22301. Billable as standalone BCDR Compliance Audit engagement.</t>
  </si>
  <si>
    <t>All clients with backup and replication environments</t>
  </si>
  <si>
    <t>Client exports backup tool configuration in one click. Upload to AI tool. AI analyses against compliance standards. Full audit report generated automatically.</t>
  </si>
  <si>
    <t>Fills the compliance intelligence gap that backup tools like Veeam do not provide natively. Zero manual effort from the client.</t>
  </si>
  <si>
    <t xml:space="preserve">Supports all major backup platforms. Internally built </t>
  </si>
  <si>
    <t>AI-powered Backup Auditor, Generative AI (LLM), Veeam / Commvault / Veritas, SharePoint</t>
  </si>
  <si>
    <t>Strong compliance product. Client exports backup config → AI produces regulator-ready audit report against SAMA/NCA/ISO 22301. Effort from 3–5 days to hours. Billable as standalone BCDR Compliance Audit. Gap: no named individual product owner; no pilot account.</t>
  </si>
  <si>
    <t>High feasibility. Backup configuration files are structured/exportable from Veeam/Commvault/Veritas. AI compliance mapping is well-proven. Risk: false confidence if client's config export is incomplete or not representative of actual backup state.</t>
  </si>
  <si>
    <t>1) Assign individual product owner. 2) Build config export templates for Veeam/Commvault/Veritas. 3) Define compliance rule set: SAMA CSF, NCA ECC, ISO 22301 backup controls. 4) AI ingests config export, identifies unprotected systems and policy violations. 5) Generate audit report with gap list and remediation. 6) Pilot with one existing BCDR client. 7) KPI: audit report preparation time before vs after.</t>
  </si>
  <si>
    <t>IaC DR Environment implementation</t>
  </si>
  <si>
    <t>AI generates Terraform module stubs for DR environments based on the approved LLD, leveraging the hub's IaC library patterns for each platform (AWS, Azure, GCP, OCI, On-Prem).</t>
  </si>
  <si>
    <t>2-4 weeks</t>
  </si>
  <si>
    <t>1 week</t>
  </si>
  <si>
    <t>• Accelerates implementation phase significantly
• Ensures IaC-first delivery across all engagements
• Reduces risk of manual configuration errors</t>
  </si>
  <si>
    <t>Confirm LLD is approved and signed off (prerequisite). 2) Define IaC library pattern catalog as AI context. 3) AI generates Terraform module stubs per LLD component (VMs, networking, replication). 4) Engineer reviews against LLD and IaC standards. 5) tfsec/Checkov scan — block on HIGH. 6) Non-prod DR test provisioning. 7) Track: IaC generation time per DR environment</t>
  </si>
  <si>
    <t>1) Pilot on one HLD/LLD or process-design package with architect-approved patterns.
2) Measure draft-preparation time, correction rate, and review-cycle reduction.
3) Reuse only approved templates, diagram rules, and prompt packs.</t>
  </si>
  <si>
    <t>AI-Powered Post-Test Report Generator</t>
  </si>
  <si>
    <t>AI analyses captured DR drill logs, timing data, and test outcomes and automatically drafts the post-test exit report — including pass/fail against RTO/RPO, issues found, and recommended remediation actions.</t>
  </si>
  <si>
    <t xml:space="preserve"> Post-Test Report Generator</t>
  </si>
  <si>
    <t>• Removes hours of manual report writing after each drill
• Produces consistent, professional reports across all engagements
• Enables faster customer sign-off and phase closure</t>
  </si>
  <si>
    <t>Define standard drill log format capturing timing, test steps, issues, RTO/RPO actuals. 2) Drill coordinator validates raw data completeness. 3) Feed logs to AI with report template. 4) AI drafts report. 5) BCDR consultant reviews and finalizes. 6) Client sign-off. 7) KPI: time from drill completion to final report delivery</t>
  </si>
  <si>
    <t>1) Pilot on a representative sample dataset with known rules and target structure.
2) Measure effort reduction, mapping accuracy, and defect/rework rate.
3) Promote reusable mappings, prompts, and validation checklist after SME sign-off.</t>
  </si>
  <si>
    <t>Cloud Engineering -Networks and Security</t>
  </si>
  <si>
    <t>AI-Driven Autonomous SOC</t>
  </si>
  <si>
    <t>AI-centric security operations platform that unifies SIEM, XDR, SOAR, UEBA, and exposure management to automate detection, investigation, and response across enterprise environments.</t>
  </si>
  <si>
    <t>Operation</t>
  </si>
  <si>
    <t>Automation</t>
  </si>
  <si>
    <t>Security</t>
  </si>
  <si>
    <t>*Consolidates fragmented SOC tooling
*Automates alert triage and response workflows
*Reduces detection and response time
*Improves cross-domain visibility
*Optimizes SOC operational efficiency</t>
  </si>
  <si>
    <t>SoC as a service and managed SOC and PS</t>
  </si>
  <si>
    <t>Decompose into sub-use-cases: alert triage, playbook execution, UEBA anomaly detection, exposure management. 2) Assign owner per sub-case. 3) Management approval for platform selection. 4) Pilot highest-priority sub-case first</t>
  </si>
  <si>
    <t>*Palo Alto Networks’ Cortex XSIAM
*CrowdStrike Falcon</t>
  </si>
  <si>
    <t>1) Pilot on one framework/domain with approved evidence sources and reviewer workflow.
2) Measure preparation effort, review corrections, and audit-readiness quality.
3) Release only reviewed outputs and preserve traceability to source controls/evidence.</t>
  </si>
  <si>
    <t>ECC</t>
  </si>
  <si>
    <t>CS-AI-01</t>
  </si>
  <si>
    <t>AI-Driven Threat Detection &amp; Response Automation</t>
  </si>
  <si>
    <t>Deploy machine learning models to detect and respond to security threats in real time, reducing mean time to detect (MTTD)  by 60–80%.</t>
  </si>
  <si>
    <t>Security Operations</t>
  </si>
  <si>
    <t>Detection and Response Automation</t>
  </si>
  <si>
    <t xml:space="preserve">MTTD=4:6 Hours </t>
  </si>
  <si>
    <t>MTTD=15:30 Mins</t>
  </si>
  <si>
    <t xml:space="preserve">• Improves SLA compliance: Reduces MTTD from hours to minutes, directly supporting higher SLA tiers
• Scales operations: Automates routine threat analysis, allowing teams to handle 3–5x more clients without proportional headcount increase
• Increases revenue per customer: Premium support tiers with faster response times command 15–25% higher fees
• Reduces alert fatigue: ML prioritizes critical threats, reducing false positives by 40–60%, improving team morale and accuracy
</t>
  </si>
  <si>
    <t>Baseline Security Logs:
•	Ingest logs from SIEM, IDS/IPS, firewall, DNS, and endpoint detection systems
•	Create baseline profiles of normal behavior per user, host, and network segment
ML Models &amp; Techniques:
•	Anomaly Detection: Isolation Forests or Autoencoders flag unusual traffic patterns, login times, or data transfers
• Threat Scoring: Random Forest or Gradient Boosting ranks threats by likelihood of compromise
• Behavioral Clustering: Group similar incidents to identify campaigns or attack patterns
Automation &amp; Response:
• Playbook Integration: Automatically block IPs, quarantine endpoints, or escalate to human analysts
• Dynamic Tuning: Model retrains weekly to adapt to evolving threat landscape
• Analyst Feedback Loop: Security team's manual decisions feed back into model refinement</t>
  </si>
  <si>
    <t>Wagieh Sheira</t>
  </si>
  <si>
    <t xml:space="preserve">SIEM and SOAR Solutions </t>
  </si>
  <si>
    <t>Mature, well-documented use case. ML-based threat detection with quantified MTTD improvement (4–6 hours → 15–30 minutes). Named owner (Wagieh Sheira), confirmed tooling (SIEM/SOAR), clear implementation steps, strong commercial justification. No blocking gaps.</t>
  </si>
  <si>
    <t>High feasibility. Behavioral anomaly detection + threat scoring on SIEM data is production-proven. Risk: model retraining cadence and feedback loop must be operational before go-live to prevent model drift. False positive management is critical.</t>
  </si>
  <si>
    <t>1) Ingest SIEM/IDS/firewall/DNS/endpoint logs. 2) Build behavioral baselines per user, host, network segment. 3) Train anomaly detection and threat-scoring models. 4) Integrate with SOAR for automated response playbooks (IP block, endpoint quarantine, escalation). 5) Weekly model retraining from analyst feedback. 6) Go-live with pilot managed security client. 7) KPI: MTTD before vs after; false positive rate; analyst escalation volume.</t>
  </si>
  <si>
    <t>CS-AI-02</t>
  </si>
  <si>
    <t>Vulnerability Assessment &amp; Prioritization Intelligence</t>
  </si>
  <si>
    <t>Use AI to automatically assess, prioritize, and recommend remediation for vulnerabilities, transforming reactive scanning into proactive risk intelligence</t>
  </si>
  <si>
    <t>Security Assessment</t>
  </si>
  <si>
    <t xml:space="preserve">Risk Based Vulnerabilities Assessment and prioritization </t>
  </si>
  <si>
    <t>40 Hours/Scan</t>
  </si>
  <si>
    <t>2 Hours/Scan</t>
  </si>
  <si>
    <t>• Differentiates service offering: Customers expect basic scanning; AI-driven prioritization is a premium feature
• Justifies higher pricing: Customers pay 20–35% more for intelligent remediation guidance
• Reduces customer risk: Prioritized remediation focus improves security posture measurably
• Minimizes liability: AI audit trails document why vulnerabilities were prioritized, supporting regulatory compliance</t>
  </si>
  <si>
    <t>Data Integration:
•	Ingest vulnerability scan data (Nessus, Qualys, OpenVAS) with CVE details
• Layer in threat intelligence (active exploits, threat actors, malware signatures)
• Map to customer asset inventory, network segmentation, and business criticality
AI Prioritization Engine:
• Risk Score: ML model combines CVSS, exploit availability, asset criticality, and network exposure
• Contextual Ranking: Ranks vulns relative to customer's threat profile and control maturity
• Remediation Roadmap: Suggests fix order balancing effort, impact, and timeline
Actionable Outputs:
• Executive Dashboard: Risk trends, top vulns, and fix progress over time
• Remediation Playbooks: Auto-generated step-by-step guidance for each vulnerability
• Compliance Mapping: Links vulns to regulatory requirements (PCI-DSS, NCA, PDPL, SAMA CSF, CST CRF)</t>
  </si>
  <si>
    <t>AI-Powered Vulnerability Scanning Tools</t>
  </si>
  <si>
    <t>Premium security use case. AI prioritizes vulnerabilities by combining CVSS, threat intel, asset criticality, and network exposure. Named owner (Wagieh Sheira), effort baseline (40 hours → 2 hours per scan), confirmed tooling. No blocking gaps.</t>
  </si>
  <si>
    <t>High feasibility. Vulnerability data is structured and well-suited to AI prioritization. Risk: over-reliance on AI ranking if threat intel feeds are stale. Mitigation: weekly threat intel refresh; analyst review of top-10 vulnerabilities before customer report is issued.</t>
  </si>
  <si>
    <t>1) Ingest scan data from Nessus/Qualys/OpenVAS with CVE metadata. 2) Layer threat intel feeds (active exploit data, CISA KEV). 3) Map to asset inventory and business criticality register. 4) AI generates risk-ranked prioritization with remediation roadmap. 5) Map to NCA/PDPL/SAMA CSF/PCI-DSS compliance controls. 6) Produce executive dashboard + per-vuln remediation playbooks. 7) Pilot with one scan cycle for a managed security client.</t>
  </si>
  <si>
    <t>CS-AI-03</t>
  </si>
  <si>
    <t>AI-Driven Compliance Automation &amp; Audit Readiness</t>
  </si>
  <si>
    <t>Deploy AI to continuously monitor security controls against regulatory frameworks (NCA, PDPL, SAMA CSF and CST CRF, ISO 27001,PCI-DSS), auto-generate audit evidence, and provide real-time compliance gap analysis — transforming compliance from a periodic, manual burden into a continuous, automated capability.</t>
  </si>
  <si>
    <t>Compliance Check</t>
  </si>
  <si>
    <t>6-12 Weeks</t>
  </si>
  <si>
    <t>1-2 Weeks</t>
  </si>
  <si>
    <t>• Addresses massive market pain: Compliance prep consumes 30–40% of internal security team time; customers pay premium to offload it
• High-margin recurring revenue: Compliance-as-a-Service contracts can achieve 70–80% gross margins once automated
• Sticky customer relationships: Compliance data residency creates high switching costs, dramatically improving net revenue retention
• Multi-framework leverage: AI maps controls once; re-uses evidence across  NCA, PDPL, SAMA CSF and CST CRF, ISO 27001,PCI-DSS  simultaneously, multiplying efficiency</t>
  </si>
  <si>
    <t>Continuous Control Monitoring:
• Ingest configuration data from cloud environments (AWS, Azure, GCP), SaaS tools, identity providers, and endpoint management platforms
• Map configurations to compliance control requirements in real time; alert when controls drift out of compliance
AI Evidence Collection &amp; Generation:
• Auto-collect and tag audit evidence (screenshots, config exports, log samples) and store in auditor-ready format organized by control
• NLP model drafts policy documents, risk assessments, and control narratives based on observed configurations and control evidence
• Gap Analysis Engine: ML identifies missing controls, suggests remediation priority, and estimates effort to achieve certification readiness</t>
  </si>
  <si>
    <t>Service NOW GRC 
Sprinto</t>
  </si>
  <si>
    <t>CS-AI-04</t>
  </si>
  <si>
    <t>AI-Powered Policy, Standards &amp; Framework Generation</t>
  </si>
  <si>
    <t>LLM automatically generates customized security policies, control frameworks, and compliance roadmaps aligned to NCA, PDPL, SAMA CSF and CST CRF, ISO 27001,PCI-DSS,..etc</t>
  </si>
  <si>
    <t>Security Governance</t>
  </si>
  <si>
    <t>Governance Dccumentation</t>
  </si>
  <si>
    <t>8-12 Weeks</t>
  </si>
  <si>
    <t>2-3 Weeks</t>
  </si>
  <si>
    <t>• Opens new market segment: Small to mid-market (SMB) companies lack dedicated compliance teams and are willing to outsource policy creation
• Recurring revenue opportunity: Quarterly/Annually policy reviews and updates based on regulatory changes, law changes, or risk shifts create subscription-like revenue model (SAR 5K–SAR 15K per update)
• Scales with minimal effort: After initial customer context gathering, AI generates customized framework in days; human review &amp; iteration in weeks instead of months
• Improves quality &amp; consistency: LLM-generated policies are grounded in regulatory text, reducing legal gaps and ensuring alignment with latest standards
• Reduces liability: AI-generated policies cite specific regulatory sources, creating transparent audit trail that satisfies auditors and regulators</t>
  </si>
  <si>
    <t>Data &amp; Knowledge Foundation:
• Ingest regulatory texts
• Create mappings: Build cross-reference matrices linking controls across frameworks 
• Template library: Develop industry-specific templates (financial, healthcare, CNI, ...) with common policies, procedures, and control descriptions
AI Policy Generation Engine:
• Customer Intake: Capture organizational profile (industry, size, regulated data types, existing compliance posture, risk appetite)
• LLM-Generated Draft: Fine-tuned GPT-4 or similar model generates full policy document tailored to customer context, regulation, and control objectives
• Regulatory Alignment: AI verifies that each control statement aligns with source framework requirements and cites specific regulation/standard
• Iteration &amp; Refinement: Customer and compliance expert review draft; feedback is fed back to model for iterative improvement
Deliverables:
• Customized Security Policy Handbook: Complete policy document covering access control, data classification, incident response, vendor management, etc.
• Control Mapping Matrix: Spreadsheet cross-referencing controls across chosen frameworks 
• Compliance Roadmap: Timeline for control implementation and evidence collection
• Evidence Templates: Ready-to-use checklists and documentation templates for demonstrating control compliance
• Regulatory Impact Analysis: Summary of recent regulation/standard changes relevant to customer</t>
  </si>
  <si>
    <t>Claude/ChatGPT/Gemini/Copilot</t>
  </si>
  <si>
    <t>DCX-AI-001</t>
  </si>
  <si>
    <t>Login Screen Generator</t>
  </si>
  <si>
    <t>Generate a Login screen (React Native)</t>
  </si>
  <si>
    <t>Frontend</t>
  </si>
  <si>
    <t>UI Scaffolding</t>
  </si>
  <si>
    <t>2 Man-days</t>
  </si>
  <si>
    <t>1 man day</t>
  </si>
  <si>
    <t>30% faster, generates screen using AI instead of writing components manually</t>
  </si>
  <si>
    <t xml:space="preserve">write proper prompt with screen shot from Figma to create the UI screen </t>
  </si>
  <si>
    <t>Yazan Alhusamia</t>
  </si>
  <si>
    <t>claude</t>
  </si>
  <si>
    <t>Mohannad Azzi</t>
  </si>
  <si>
    <t>Not Accepted – Better as Design System Automation / UI Accelerator</t>
  </si>
  <si>
    <t>This is a valid engineering productivity scenario, but in its current form it is mainly deterministic UI generation based on an existing design system, Figma reference, and predefined components. The real value comes from scaffolding speed, component reuse, and developer productivity rather than governed AI intelligence. AI can draft initial React Native screen code, but compliance with design tokens, accessibility, responsive behavior, navigation patterns, and integration rules still depends on controlled frontend engineering practices.</t>
  </si>
  <si>
    <t>High doability operationally; Low-Medium AI fit. Very feasible as a delivery accelerator, but weak as a governed AI use case because it is primarily structured UI scaffolding rather than intelligent decision support.</t>
  </si>
  <si>
    <t>Use as a frontend delivery accelerator. Allow AI to generate the first-pass screen structure from Figma screenshots and component guidance, but require design-system validation, accessibility review, code review, and QA before merge. Re-submit only if the scope expands into automated UX conformance checks, accessibility analysis, or design-quality review.</t>
  </si>
  <si>
    <t>40-50%</t>
  </si>
  <si>
    <t> </t>
  </si>
  <si>
    <t>implelemted</t>
  </si>
  <si>
    <t>Case remains Not Accepted because reassessment confirms the core value is UI scaffolding and component reuse, not a differentiated AI adoption case. The revised wording makes the reason clearer and better aligned with DCX frontend delivery reality.</t>
  </si>
  <si>
    <t>DCX-AI-002</t>
  </si>
  <si>
    <t>OTP Screen Refactoring</t>
  </si>
  <si>
    <t>Refactor complex screen</t>
  </si>
  <si>
    <t>Frontend Refactoring</t>
  </si>
  <si>
    <t>Code Modernization</t>
  </si>
  <si>
    <t>4 man-days</t>
  </si>
  <si>
    <t>2 man-days</t>
  </si>
  <si>
    <t>enhance performance for complex screen and make code readable before Raise PR</t>
  </si>
  <si>
    <t>write proper prompt to explain the current development and extract to sub components and screen</t>
  </si>
  <si>
    <t>Ahmad Ammoura</t>
  </si>
  <si>
    <t>Need More Elaboration – Reframe as AI-Assisted Frontend Refactoring and Code Quality Review</t>
  </si>
  <si>
    <t>Refactoring complex frontend screens is not strong AI adoption if framed only as “rewrite code faster.” However, AI does have credible value if the case is scoped to decomposition suggestions, code smell detection, maintainability improvement, duplication identification, readability enhancement, and pre-PR engineering guidance. The row should move from raw code rewrite to AI-assisted modernization and code quality support.</t>
  </si>
  <si>
    <t>High doability operationally; Medium AI fit if quality-focused. Strong practical value in frontend engineering, but AI value is valid only when focused on analysis, decomposition, and maintainability guidance rather than blind refactoring.</t>
  </si>
  <si>
    <t>Reframe as an AI-assisted refactoring advisor. Use AI to suggest component extraction, simplify logic, identify duplication, explain complexity hotspots, and propose cleaner structure before PR. Keep implementation decisions and merge approval fully with the engineer and the normal review process.</t>
  </si>
  <si>
    <t>Updated from Not Accepted because the original wording made it look like pure code rewrite automation. After reassessment, the case shows valid AI-assisted applicability in code quality analysis and refactoring support, but it still needs tighter scope before acceptance.</t>
  </si>
  <si>
    <t>DCX-AI-003</t>
  </si>
  <si>
    <t>Internal Transfer API Integration</t>
  </si>
  <si>
    <t>Generate API service, DTOs, error handling, retry logic</t>
  </si>
  <si>
    <t>API Integration</t>
  </si>
  <si>
    <t>3 Man-days</t>
  </si>
  <si>
    <t>20% faster than creates manual API adapters to communicate with backend,  and helps in mocks integrations before API is ready</t>
  </si>
  <si>
    <t>send the swagger and screen components to AI tools to gets the adapters and integrations</t>
  </si>
  <si>
    <t>Kareem Shehab</t>
  </si>
  <si>
    <t>Need More Elaboration – Reframe as AI-Assisted API Adapter Generation and Integration Support</t>
  </si>
  <si>
    <t>Generating service layers, DTOs, mocks, retry logic, and error handling from Swagger/OpenAPI is technically useful, but much of it is still standard code generation that can be addressed through SDK generators, templates, or shared integration libraries. AI becomes more relevant when the scope includes interpreting incomplete specs, summarizing API contract gaps, generating mocks before readiness, recommending integration patterns, and explaining exception-handling strategies.</t>
  </si>
  <si>
    <t>High doability operationally; Medium AI fit. Strong engineering applicability, but the use case needs clearer separation between ordinary code generation and real AI-assisted reasoning.</t>
  </si>
  <si>
    <t>Reframe as AI-assisted integration engineering. Use AI to draft adapters, mapping logic, mocks, retry patterns, and contract summaries from Swagger plus screen context and business flow. Pair this with contract validation, integration tests, and code review. Do not position simple DTO/service generation alone as a governed AI use case.</t>
  </si>
  <si>
    <t>15-30%</t>
  </si>
  <si>
    <t>Updated from Not Accepted because the reassessment found valid AI value in contract interpretation, mock generation, and integration reasoning beyond normal code scaffolding. It still needs tighter framing before it can move into accepted status.</t>
  </si>
  <si>
    <t>DCX-AI-004</t>
  </si>
  <si>
    <t>API Contract &amp; Swagger Generator</t>
  </si>
  <si>
    <t>Generate OpenAPI specs from code or vice versa</t>
  </si>
  <si>
    <t>Documentation</t>
  </si>
  <si>
    <t>10 man days</t>
  </si>
  <si>
    <t>6 man days</t>
  </si>
  <si>
    <t>40% faster than writing the swaggers and services manually</t>
  </si>
  <si>
    <t>send input and expected output to AI tool to get the swagger interfaces and service,</t>
  </si>
  <si>
    <t>Ahmed Mashaly</t>
  </si>
  <si>
    <t>Strong and practical use case with clear AI relevance and evidence of real usage or measurable adoption indicators. Suitable to institutionalize and extend under governed patterns.</t>
  </si>
  <si>
    <t>30-40%</t>
  </si>
  <si>
    <t>DCX-AI-005</t>
  </si>
  <si>
    <t>Form &amp; Validation Generator</t>
  </si>
  <si>
    <t>Generate complex forms with validation &amp; error messages</t>
  </si>
  <si>
    <t>UX Components</t>
  </si>
  <si>
    <t>5 Man-Days</t>
  </si>
  <si>
    <t>4 man days</t>
  </si>
  <si>
    <t>30% faster, generates all required and validations for input fileds and components in frontend</t>
  </si>
  <si>
    <t>write proper pormpt to AI to gets the valid and all validations for inputs with full description for each input what is the expected results with samples</t>
  </si>
  <si>
    <t>Ahmad Shaltouny</t>
  </si>
  <si>
    <t>20-30%</t>
  </si>
  <si>
    <t>DCX-AI-006</t>
  </si>
  <si>
    <t>Error Handling &amp; Logging Standardizer</t>
  </si>
  <si>
    <t>Inject unified logging &amp; exception handling</t>
  </si>
  <si>
    <t>Observability</t>
  </si>
  <si>
    <t>10% faster, which generates generals logger and exception handler for APIs to collect all required for debugging if any issues appears</t>
  </si>
  <si>
    <t>write proper prompt to AI to get all possible data and enhancement from frauds and secure all request sent from frontend, also to get the needed info for debugging</t>
  </si>
  <si>
    <t>Need More Elaboration – Reframe as AI-Assisted Observability and Exception Design Support</t>
  </si>
  <si>
    <t>Injecting standardized logging and exception handling is mostly a platform engineering and backend standards problem. In its current form, it is not a strong standalone AI use case. However, AI can add value if the case is reframed toward identifying missing observability fields, recommending structured log design, classifying exception categories, highlighting security/privacy concerns in logs, and suggesting debugging metadata based on service context.</t>
  </si>
  <si>
    <t>High doability operationally; Medium AI fit if observability-focused. The implementation itself is deterministic, but AI can support better observability design, consistency, and debugging readiness when properly scoped.</t>
  </si>
  <si>
    <t>Reframe as AI-assisted observability design support. Use AI to recommend log structures, correlation fields, exception taxonomy, and debugging metadata for APIs, while enforcement stays in shared middleware, templates, and backend standards. Keep execution rule-based and controlled through approved backend frameworks.</t>
  </si>
  <si>
    <t>10-20%</t>
  </si>
  <si>
    <t>Updated from Not Accepted because the original row focused only on code injection and standardization. After reassessment, the use case shows valid AI-assisted applicability in observability design, exception classification, and debugging intelligence, but it still needs a narrower scope before acceptance.</t>
  </si>
  <si>
    <t>DCX-FIFS-AI-01</t>
  </si>
  <si>
    <t>Microservices Dependency Mapper</t>
  </si>
  <si>
    <t>AI that analyzes service interactions, API calls, and data flows to automatically generate microservices dependency graphs and identify potential bottlenecks</t>
  </si>
  <si>
    <t>TBD</t>
  </si>
  <si>
    <t>Architecture</t>
  </si>
  <si>
    <t>System Design</t>
  </si>
  <si>
    <t>Architecture Visualization</t>
  </si>
  <si>
    <t>12-15 hours per architecture review (manual mapping)</t>
  </si>
  <si>
    <t>2-3 hours (AI-generated dependency maps)</t>
  </si>
  <si>
    <t>80% reduction in architecture documentation time; better optimization insights</t>
  </si>
  <si>
    <t>Run analysis on production/log data; validate with architects; identify optimization opportunities</t>
  </si>
  <si>
    <t>Essential for complex microservices environments</t>
  </si>
  <si>
    <t>Architects, Tech Leads</t>
  </si>
  <si>
    <t>Supports performance optimization efforts</t>
  </si>
  <si>
    <t>50-60%</t>
  </si>
  <si>
    <t>end of May</t>
  </si>
  <si>
    <t>DCX-FIFS-AI-02</t>
  </si>
  <si>
    <t>Regulatory Compliance Checker</t>
  </si>
  <si>
    <t>AI-powered scanning of code and configuration files to identify potential regulatory compliance issues (GDPR, PCI-DSS, SOX) before deployment</t>
  </si>
  <si>
    <t>Compliance QA Testing</t>
  </si>
  <si>
    <t>Regulatory Validation</t>
  </si>
  <si>
    <t>8-10 hours per release (manual compliance reviews)</t>
  </si>
  <si>
    <t>1-2 hours per release (AI-assisted compliance scanning)</t>
  </si>
  <si>
    <t>80% reduction in compliance review time; reduced regulatory risk</t>
  </si>
  <si>
    <t>Integrate with CI/CD pipeline; define compliance rules database; AI flags potential violations for human review</t>
  </si>
  <si>
    <t>Proactive compliance reduces audit findings and remediation costs</t>
  </si>
  <si>
    <t>Compliance Team, Developers</t>
  </si>
  <si>
    <t>Critical for FinTech regulatory environment</t>
  </si>
  <si>
    <t>Well-defined compliance QA use case. AI scans code and configs for GDPR/PCI-DSS/SOX violations before deployment. Effort from 8–10 hours to 1–2 hours per release (80%). Owners identified (Compliance Team, Developers), tool confirmed (Copilot), CI/CD integration is the right delivery model. No blocking gaps.</t>
  </si>
  <si>
    <t>High feasibility. Code scanning for compliance patterns is a reliable AI use case. Risk: AI may produce false positives on complex data-handling patterns. Mitigation: compliance team validates all AI-flagged items before blocking a release; maintain false-positive log to tune rules.</t>
  </si>
  <si>
    <t>1) Define compliance rule database: GDPR data handling, PCI-DSS cardholder data, SOX financial control patterns. 2) Integrate AI compliance scanner into CI/CD as a quality gate. 3) AI flags potential violations with severity and regulatory reference. 4) Developer addresses or documents exception. 5) Compliance team reviews flagged items before release approval. 6) KPI: compliance review time per release; regulatory findings in production.</t>
  </si>
  <si>
    <t>70-80%</t>
  </si>
  <si>
    <t>DCX-FIFS-AI-03</t>
  </si>
  <si>
    <t>API Contract Testing Generator</t>
  </si>
  <si>
    <t>AI that analyzes OpenAPI/Swagger specifications and automatically generates comprehensive contract tests, including edge cases and negative scenarios</t>
  </si>
  <si>
    <t>API Testing</t>
  </si>
  <si>
    <t>Contract Testing</t>
  </si>
  <si>
    <t>4-6 hours per API (manual test creation)</t>
  </si>
  <si>
    <t>1-2 hours (AI-generated test suite)</t>
  </si>
  <si>
    <t>70% faster API testing; improved test coverage</t>
  </si>
  <si>
    <t>Feed API specifications to AI; review generated tests; integrate with CI/CD</t>
  </si>
  <si>
    <t>Ensures API reliability in microservices architecture</t>
  </si>
  <si>
    <t>QA Engineers, API Developers</t>
  </si>
  <si>
    <t>Supports API-first development</t>
  </si>
  <si>
    <t>DCX-FIFS-AI-04</t>
  </si>
  <si>
    <t>Accessibility Compliance Checker</t>
  </si>
  <si>
    <t>AI that scans frontend code and UI components for accessibility issues (WCAG 2.1 compliance) and suggests fixes for users with disabilities</t>
  </si>
  <si>
    <t>Accessibility</t>
  </si>
  <si>
    <t>4-6 hours per screen (manual accessibility testing)</t>
  </si>
  <si>
    <t>1-2 hours (AI-assisted scanning + fixes)</t>
  </si>
  <si>
    <t>70% faster accessibility compliance; improved inclusive design</t>
  </si>
  <si>
    <t>Define WCAG standards; AI scans components; developers implement fixes; validate with tools</t>
  </si>
  <si>
    <t>Ensures applications are accessible to all users</t>
  </si>
  <si>
    <t>Frontend Developers, UX Designers</t>
  </si>
  <si>
    <t>Increasing regulatory focus on digital accessibility</t>
  </si>
  <si>
    <t>Clear accessibility compliance use case. AI scans frontend code for WCAG 2.1 issues and suggests fixes. Effort from 4–6 hours to 1–2 hours per screen (70%). Owners identified, tool confirmed (Copilot). Note: AI is for preliminary scanning — formal validation with screen readers remains mandatory.</t>
  </si>
  <si>
    <t>High feasibility. WCAG pattern matching is well-suited to AI code analysis. Risk: AI may miss dynamic accessibility issues (focus management, ARIA live regions under interaction). Mitigation: AI is a pre-review gate; formal accessibility testing with assistive technology remains required before release.</t>
  </si>
  <si>
    <t>1) Define WCAG 2.1 AA rule set for scanning context. 2) AI scans component code for: contrast issues, missing ARIA labels, keyboard focus gaps, semantic HTML violations. 3) Developer implements AI-suggested fixes. 4) Validate with contrast checker + screen reader (NVDA/VoiceOver). 5) Integrate scanner into PR review workflow. 6) KPI: accessibility issues per screen before vs after; time to WCAG compliance per feature.</t>
  </si>
  <si>
    <t>end of april</t>
  </si>
  <si>
    <t>DCX-FIFS-AI-05</t>
  </si>
  <si>
    <t>Release Notes Generator</t>
  </si>
  <si>
    <t>AI that analyzes commits, PR descriptions, and Jira tickets to automatically generate comprehensive, user-friendly release notes</t>
  </si>
  <si>
    <t>Deployment</t>
  </si>
  <si>
    <t>Release Management</t>
  </si>
  <si>
    <t>2-3 hours per release (manual compilation)</t>
  </si>
  <si>
    <t>0.5 hours (AI-generated draft + review)</t>
  </si>
  <si>
    <t>75% faster release documentation; more consistent communication</t>
  </si>
  <si>
    <t>Integrate with version control and project management; AI categorizes changes; PM reviews</t>
  </si>
  <si>
    <t>Improves stakeholder communication</t>
  </si>
  <si>
    <t>Release Managers, PMs</t>
  </si>
  <si>
    <t>Reduces manual overhead in releases</t>
  </si>
  <si>
    <t>DCX-FIFS-AI-06</t>
  </si>
  <si>
    <t>Migration Script Generator</t>
  </si>
  <si>
    <t>AI that analyzes source and target database schemas and automatically generates data migration scripts with transformation logic</t>
  </si>
  <si>
    <t>Database</t>
  </si>
  <si>
    <t>Data Migration</t>
  </si>
  <si>
    <t>8-12 hours per migration (manual script writing)</t>
  </si>
  <si>
    <t>2-3 hours (AI-generated scripts + validation)</t>
  </si>
  <si>
    <t>75% faster migration script development; reduced errors</t>
  </si>
  <si>
    <t>Provide source/target schemas; AI generates transformation logic; test thoroughly</t>
  </si>
  <si>
    <t>Essential for system upgrades and cloud migrations</t>
  </si>
  <si>
    <t>Database Developers</t>
  </si>
  <si>
    <t>Supports modernization initiatives</t>
  </si>
  <si>
    <t>Well-scoped database migration use case. AI analyzes source and target schemas and generates migration scripts with transformation logic. Effort from 8–12 hours to 2–3 hours per migration (75%). Owners identified, tool confirmed (Copilot). Ready for pilot in staging environment.</t>
  </si>
  <si>
    <t>High feasibility for schema-driven migration script generation. Risk: AI-generated scripts may have incorrect transformation logic for complex business rules in the source schema. Mitigation: mandatory staging environment testing with data validation assertions before any production migration.</t>
  </si>
  <si>
    <t>1) Export source and target schema DDL. 2) Feed schemas + business rules to AI. 3) AI generates migration scripts: DDL changes, data transformation, referential integrity handling. 4) DBA reviews transformation logic against business rules. 5) Test migration in staging with representative data. 6) Validate data completeness and integrity post-migration. 7) KPI: script generation time before vs after; migration test cycles needed.</t>
  </si>
  <si>
    <t>DCX-FIS-AI-06</t>
  </si>
  <si>
    <t xml:space="preserve">Deduplication of Customer Data </t>
  </si>
  <si>
    <t xml:space="preserve">probably a On prem AI Model which can learn and understand the duplicate customers based on the multi-parameter match Example after CMA Enabled Global Onboarding there can be customers Onboarded with Saudi Resident or GCC resident IDs as well as with the Passport from respective home country So this tool can learn the KYC submitted data related to ID , passport details, names , geneter , country of birth and narrow down that the same user onboarded twice. This is more critial by considering enabling global outreach without compromising the Compliance and AML requirements. </t>
  </si>
  <si>
    <t xml:space="preserve">Onboarding </t>
  </si>
  <si>
    <t xml:space="preserve">Mutiple Manual checks and decision making is difficult to update or block the customer . probably 5 to 10 mandays end to end process </t>
  </si>
  <si>
    <t>Identification can happen in less than 10 minutes and decisiion making can happen in less than an hour</t>
  </si>
  <si>
    <t xml:space="preserve">Compliance and regulatory requirements
Avoid regulatory issues as well as penaties </t>
  </si>
  <si>
    <t>Around 20 + Capital Market instituions in Saudi and other used cases in Fintech</t>
  </si>
  <si>
    <t xml:space="preserve">-Define &amp; standardize key data (ID, name, DOB, nationality)
-Apply fuzzy/ML matching to generate duplicate scores
-Flag high-confidence matches using thresholds
-Route to compliance for manual approval
-Maintain audit trail + monitor accuracy (false positives)  </t>
  </si>
  <si>
    <t xml:space="preserve">full stake developers </t>
  </si>
  <si>
    <t>UX-AI-001</t>
  </si>
  <si>
    <t xml:space="preserve">Develop Figma Plugin - RTL </t>
  </si>
  <si>
    <t>Used AI to support building a plugin script that speeds up the Arabic design conversion process, especially translation-related updates and RTL layout shifting, reducing manual effort and improving consistency.</t>
  </si>
  <si>
    <t>UX/UI</t>
  </si>
  <si>
    <t>24 man days</t>
  </si>
  <si>
    <t>7 Man-days</t>
  </si>
  <si>
    <t>EDS includes ~32 components. A manual RTL conversion with translation for this scope typically takes ~25 man-days. Using our AI-supported workflow, we reduced the effort by 71% and completed the task in 6 man-days.</t>
  </si>
  <si>
    <t>write prompt script to AI tool and send current layout to flip into another orientation</t>
  </si>
  <si>
    <t>Designer / Maher Nahla</t>
  </si>
  <si>
    <t xml:space="preserve">Subscriptions </t>
  </si>
  <si>
    <t>Claude, ChatGPT, Figma, Figma Make</t>
  </si>
  <si>
    <t>50% to 70%</t>
  </si>
  <si>
    <t>UX-AI-002</t>
  </si>
  <si>
    <t xml:space="preserve">Design inspiratoin </t>
  </si>
  <si>
    <t>Use AI to generate design inspiration directions, 
visual references, layout ideas, and alternative concepts based 
on product goals, target users, and brand style. Helps speed up
 early ideation before moving to high-fidelity design.</t>
  </si>
  <si>
    <t>Design / Productivity</t>
  </si>
  <si>
    <t>Inspiration &amp; 
Concept Exploration</t>
  </si>
  <si>
    <t>6–8 hrs</t>
  </si>
  <si>
    <t>Faster ideation, more concept options, better exploration quality in less time</t>
  </si>
  <si>
    <t>Start with clear prompt (goal, audience, brand, platform). Generate 3–5 directions, then shortlist and refine manually in Figma. Validate against design system and business needs.</t>
  </si>
  <si>
    <t>UI/UX Designers</t>
  </si>
  <si>
    <t>Well-formed use case with clear business value, valid AI role, and enough delivery context to move into controlled implementation with SME review and quality gates.</t>
  </si>
  <si>
    <t>UX-AI-003</t>
  </si>
  <si>
    <t>Figma Console MCP</t>
  </si>
  <si>
    <t>Use AI with Figma MCP / Console workflows to read design data, inspect components/variables, and assist in generating scripts or structured outputs (tokens, specs, mappings) that speed up design-system operations and repetitive UI tasks.</t>
  </si>
  <si>
    <t>Design / Automation</t>
  </si>
  <si>
    <t>Figma Integration / MCP</t>
  </si>
  <si>
    <t>8–16 hrs</t>
  </si>
  <si>
    <t>2–5 hrs</t>
  </si>
  <si>
    <t>Reduced manual inspection and repetitive setup work, faster design-system operations, improved consistency</t>
  </si>
  <si>
    <t>Define exact task scope (e.g., variables extraction, component mapping, RTL prep). Use controlled prompts. Review all outputs before applying to production files.</t>
  </si>
  <si>
    <t>AI + MCP is highly effective when the request is specific and structured.</t>
  </si>
  <si>
    <t>UI/UX + Front-end</t>
  </si>
  <si>
    <t>Works best with standardized naming in design system components and variables.</t>
  </si>
  <si>
    <t>Figma MCP</t>
  </si>
  <si>
    <t>In-progress use case: AI + Figma MCP to read design data, inspect components/variables, generate structured outputs (tokens, specs, mappings). Effort from 8–16 hours to 2–5 hours. Owners identified, tool confirmed (Figma MCP). Set Selected=Yes.</t>
  </si>
  <si>
    <t>High feasibility. Figma MCP provides structured API access to design data — reliable foundation for automating repetitive design-system tasks. Risk: broad Figma access prompts could produce unreliable outputs. Mitigation: tightly controlled prompt library per task type.</t>
  </si>
  <si>
    <t>1) Define exact task scope per workflow (variables extraction, component mapping, RTL prep, spec generation). 2) Build controlled prompt library for each task type. 3) Validate all outputs before applying to production Figma files. 4) Log time saved per workflow type. 5) Expand to new task types based on adoption feedback. 6) KPI: time per design-system operation before vs after; adoption count across DCX projects.</t>
  </si>
  <si>
    <t>UX-AI-004</t>
  </si>
  <si>
    <t>Microcopy &amp; UX Writing</t>
  </si>
  <si>
    <t>Use AI to draft and improve UI microcopy (buttons, errors, empty states, helper text, onboarding text) and provide multiple tone options while keeping clarity, consistency, and usability in focus.</t>
  </si>
  <si>
    <t>UX Content</t>
  </si>
  <si>
    <t>3–6 hrs</t>
  </si>
  <si>
    <t>0.5–2 hrs</t>
  </si>
  <si>
    <t>Faster writing iterations, clearer UX copy, improved tone consistency, easier localization prep</t>
  </si>
  <si>
    <t>5+</t>
  </si>
  <si>
    <t>Provide context (screen purpose, user action, error case, tone). Generate options, then review for product terminology, legal constraints, and brand voice.</t>
  </si>
  <si>
    <t>AI accelerates copy ideation and refinement, but domain accuracy and UX context still need human editing.</t>
  </si>
  <si>
    <t>UI/UX Designers / Product Team</t>
  </si>
  <si>
    <t>Especially useful for error states and empty states where many variants are needed.</t>
  </si>
  <si>
    <t>UX-AI-005</t>
  </si>
  <si>
    <t>UX Testing Support</t>
  </si>
  <si>
    <t>Use AI to help prepare usability testing assets such as test scripts, scenarios, task flows, interview questions, note synthesis, and summary themes. Can also help cluster findings and draft insight summaries.</t>
  </si>
  <si>
    <t>UX Research</t>
  </si>
  <si>
    <t>Usability Testing Support</t>
  </si>
  <si>
    <t>5-7 Man-days</t>
  </si>
  <si>
    <t>8-12 Hrs</t>
  </si>
  <si>
    <t>Faster test prep and synthesis, improved documentation quality, quicker turnaround for reporting insights</t>
  </si>
  <si>
    <t>Feed AI anonymized notes only. Use it for drafting and clustering, then validate findings manually. Keep raw evidence and decision traceability.</t>
  </si>
  <si>
    <t>AI is valuable in synthesis support, but should not replace researcher judgment.</t>
  </si>
  <si>
    <t>UX Researchers / UI/UX Designers</t>
  </si>
  <si>
    <t>Avoid uploading sensitive user data. Human review required for final findings and recommendations.</t>
  </si>
  <si>
    <t xml:space="preserve">Figma MCP, Testing tools </t>
  </si>
  <si>
    <t>UX-AI-006</t>
  </si>
  <si>
    <t>Accessibility Review Support</t>
  </si>
  <si>
    <t>Use AI as an assistant to review screens/components for accessibility considerations (contrast issues, hierarchy, labels, focus states, semantic clarity, keyboard flow assumptions) and generate improvement checklists before formal QA.</t>
  </si>
  <si>
    <t>Quality &amp; Compliance</t>
  </si>
  <si>
    <t>Accessibility Support</t>
  </si>
  <si>
    <t>4–8 hrs</t>
  </si>
  <si>
    <t>1–3 hrs</t>
  </si>
  <si>
    <t>Earlier detection of accessibility issues, better design quality, reduced rework before development</t>
  </si>
  <si>
    <t>Use AI for preliminary review only. Validate with actual tools (contrast checkers, screen-reader testing) and platform guidelines.</t>
  </si>
  <si>
    <t>AI is useful for checklist-driven accessibility reviews, but real validation tools are still mandatory.</t>
  </si>
  <si>
    <t>UI/UX Designers / QA</t>
  </si>
  <si>
    <t>Great for pre-handoff checks; not a replacement for WCAG-based testing tools.</t>
  </si>
  <si>
    <t>ChatGPT Vision
Gemini Vision
Figma AI</t>
  </si>
  <si>
    <t>Well-scoped accessibility review use case. AI reviews screens/components for contrast, hierarchy, label, focus, and semantic issues and generates improvement checklists before formal QA. Effort from 4–8 hours to 1–3 hours. Owners named, tools confirmed (ChatGPT Vision, Gemini Vision, Figma AI). Governance caveat already captured.</t>
  </si>
  <si>
    <t>High feasibility as a pre-QA review gate. Risk: AI vision models may miss dynamic accessibility issues that only manifest under interaction. Mitigation: AI review is supplementary early-warning gate, not a replacement for formal accessibility testing.</t>
  </si>
  <si>
    <t>1) Export screen/component screenshots and code for AI review. 2) AI checks: contrast ratios, ARIA labels, focus order, semantic HTML, keyboard flow assumptions. 3) AI generates improvement checklist with severity ratings. 4) Designer implements priority items. 5) Validate with contrast checker + screen reader before QA sign-off. 6) KPI: accessibility issues detected pre-QA vs post-QA; rework cycles reduced.</t>
  </si>
  <si>
    <t>UX-AI-007</t>
  </si>
  <si>
    <t>Interaction and Prototyping</t>
  </si>
  <si>
    <t>Using AI to assists with creating interactions and live prototype for flows(Web/App)</t>
  </si>
  <si>
    <t xml:space="preserve">UI </t>
  </si>
  <si>
    <t>UI and Interaction</t>
  </si>
  <si>
    <t>1 day</t>
  </si>
  <si>
    <t>Less production cost</t>
  </si>
  <si>
    <t>Interaction designers / UI/UX Designers</t>
  </si>
  <si>
    <t xml:space="preserve">Need Subscriptions </t>
  </si>
  <si>
    <t>Figma , Figma Make, Framer</t>
  </si>
  <si>
    <t>UX-AI-008</t>
  </si>
  <si>
    <t>Generate Images &amp; Videos</t>
  </si>
  <si>
    <t xml:space="preserve">Using AI to generate images &amp; videos that help to create a professional video </t>
  </si>
  <si>
    <t>UI Motion Design</t>
  </si>
  <si>
    <t>2 days</t>
  </si>
  <si>
    <t>Figma, Framer, After Effect, Freepik</t>
  </si>
  <si>
    <t>Not Accepted – No Clear Governed Enterprise AI Boundary</t>
  </si>
  <si>
    <t>This row is too broad and loosely framed for governed enterprise adoption. “Generate images and videos” is a generic content-production activity, not yet a bounded business use case with clear quality controls, IP policy, reuse model, approval workflow, or measurable enterprise value. It may help internal design productivity, but it is not sufficiently differentiated or controlled to qualify as a governed AI use case in its current form.</t>
  </si>
  <si>
    <t>Medium doability operationally; Low AI fit in current governance form. The tooling is available and usable, but the business case is too broad and the delivery boundaries are unclear.</t>
  </si>
  <si>
    <t>Keep it as an internal creative productivity aid only. Use AI for drafts, placeholders, storyboards, internal visual concepts, and early ideation, but do not position it as a governed AI use case until there is a defined business problem, measurable value, content/IP policy, brand control, and customer-acceptable quality boundary.</t>
  </si>
  <si>
    <t>Case remains Not Accepted because the row is still too broad and weakly differentiated to justify governed enterprise AI adoption. The updated rationale sharpens the issue around missing business case, assurance, and delivery boundaries.</t>
  </si>
  <si>
    <t>DCX-BA-002</t>
  </si>
  <si>
    <t>AI Requirement Gap &amp; Conflict Detection</t>
  </si>
  <si>
    <t>AI tool used to compare BRD, FSD, and UI designs to detect inconsistencies, missing fields, duplicated rules, or conflicting workflows.</t>
  </si>
  <si>
    <t xml:space="preserve">Analysis </t>
  </si>
  <si>
    <t>Quality Assurance Enhancement</t>
  </si>
  <si>
    <t>Automated Documentation Review</t>
  </si>
  <si>
    <t>2–3 days manual comparison</t>
  </si>
  <si>
    <t>Initial gap analysis in 1–2 hours
BA validates flagged items</t>
  </si>
  <si>
    <t>Reduced production defects
Faster UAT cycle
Early detection of logic conflicts</t>
  </si>
  <si>
    <t>Pilot (BA + Solution Architect)</t>
  </si>
  <si>
    <t>Upload sanitized documents only
AI output to be reviewed manually
Maintain issue log tracking</t>
  </si>
  <si>
    <t>AI reduces oversight risk but cannot fully interpret business context without human review.</t>
  </si>
  <si>
    <t>BA Lead / Solution Architect</t>
  </si>
  <si>
    <t>Need integration with document repository</t>
  </si>
  <si>
    <t>Strong BA quality gate. AI compares BRD, FSD, and UI designs to detect inconsistencies, missing fields, duplicate rules, and conflicting workflows. Effort from 2–3 days to 1–2 hours. Owner named (BA Lead / Solution Architect). Clear governance: sanitized docs, manual review, issue log. Ready for pilot.</t>
  </si>
  <si>
    <t>High feasibility. Document comparison and conflict detection is a reliable LLM pattern. Risk: AI may flag false conflicts where intentional design decisions created differences. Mitigation: BA reviews all flagged conflicts with the originating domain expert before raising as issues.</t>
  </si>
  <si>
    <t>1) Upload sanitized BRD, FSD, and UI design specs. 2) AI performs cross-document comparison: missing fields, conflicting rules, terminology inconsistencies, workflow gaps. 3) BA reviews AI-generated conflict list with Solution Architect. 4) Confirmed conflicts logged in issue tracker with source references. 5) KPI: conflicts detected pre-UAT vs post-UAT; issue detection shift-left rate.</t>
  </si>
  <si>
    <t>Signup Workflow</t>
  </si>
  <si>
    <t>Develop a user interface for signup, including generating UI, Integration, 
generation validation rules, based on an existing project, 
leveraging an existing design system compnents</t>
  </si>
  <si>
    <t>UI</t>
  </si>
  <si>
    <t>1 Developer</t>
  </si>
  <si>
    <t>Waleed Hussien</t>
  </si>
  <si>
    <t>Anthropic Claude Opus</t>
  </si>
  <si>
    <t>Not Accepted – Better as Design System Automation / UI Engineering Accelerator</t>
  </si>
  <si>
    <t>This is similar to the Login Screen Generator case but with added validation rules and integration context. The activity still sits mainly in deterministic frontend engineering using an existing design system, existing project patterns, and standard integration practices. AI can help generate a first draft of UI, validation logic, and connection points, but the main value still comes from reusable components, frontend conventions, and developer oversight rather than a distinct governed AI capability.</t>
  </si>
  <si>
    <t>High doability operationally; Low-Medium AI fit. Feasible and useful as a delivery accelerator, but still weak as a governed AI use case in its current framing.</t>
  </si>
  <si>
    <t>Keep as a UI engineering and workflow scaffolding accelerator. Use AI to generate draft screens, form rules, and integration stubs from Figma and project context, but validate through design-system controls, form-validation rules, integration tests, and manual review. Re-submit only if reframed into UX compliance analysis, form-logic anomaly detection, or intelligent validation design support.</t>
  </si>
  <si>
    <t>Case remains Not Accepted because the reassessment confirms it is still mostly frontend scaffolding plus deterministic validation/integration setup. The revised wording clarifies that this belongs to delivery acceleration rather than the governed AI pipeline.</t>
  </si>
  <si>
    <t>EPCS</t>
  </si>
  <si>
    <t>EPCS-AI-SPM-001</t>
  </si>
  <si>
    <t>Schema Design and Data Modeling</t>
  </si>
  <si>
    <t>AI assistance to design normalized relational schema for contract sheet system (entities, keys, relationships, indexes)</t>
  </si>
  <si>
    <t>2026-03-01</t>
  </si>
  <si>
    <t>Data Modeling</t>
  </si>
  <si>
    <t>16H</t>
  </si>
  <si>
    <t>Faster schema design and fewer review cycles; improves data quality and reduces rework</t>
  </si>
  <si>
    <t>Provide business entities, attributes, and relationships; AI drafts ERD and table definitions; DBA reviews and adjusts for Oracle/APEX constraints.</t>
  </si>
  <si>
    <t>AI accelerates first draft; human review ensures platform fit</t>
  </si>
  <si>
    <t>Ahmed Shaheen</t>
  </si>
  <si>
    <t>Requires access to Oracle APEX schema standards and naming conventions</t>
  </si>
  <si>
    <t>GitHub Copilot</t>
  </si>
  <si>
    <t>Omar Ibrahim</t>
  </si>
  <si>
    <t>Scale in Q2-Q3 2026</t>
  </si>
  <si>
    <t>EPCS-AI-SPM-002</t>
  </si>
  <si>
    <t>Architecture Documentation</t>
  </si>
  <si>
    <t>AI assistance designing  a structured business model and data architecture for managing project milestones, revenues, costs, and actuals with the specific requirements</t>
  </si>
  <si>
    <t>24H</t>
  </si>
  <si>
    <t>Standardized architecture docs; reduces analysis effort and speeds approval</t>
  </si>
  <si>
    <t>Provide requirements; AI generates entity model and documentation; architect reviews and simplifies.</t>
  </si>
  <si>
    <t>Improves consistency and speeds documentation</t>
  </si>
  <si>
    <t>Requires architecture templates and naming conventions</t>
  </si>
  <si>
    <t>EPCS-AI-SPM-004</t>
  </si>
  <si>
    <t>Error Debugging and Handling</t>
  </si>
  <si>
    <t>AI assistance in analyzing error messages and provide detailed explanations when encountering complex errors in APEX applications</t>
  </si>
  <si>
    <t>Debugging</t>
  </si>
  <si>
    <t>2H</t>
  </si>
  <si>
    <t>Reduces debugging time and improves developer productivity</t>
  </si>
  <si>
    <t>~20</t>
  </si>
  <si>
    <t>Capture error message and code context; AI suggests root cause and fix; developer validates in non-prod before applying.</t>
  </si>
  <si>
    <t>AI improves speed; validation still required</t>
  </si>
  <si>
    <t>All AI-suggested fixes must be tested in non-prod before production deployment</t>
  </si>
  <si>
    <t>1) Pilot on a bounded engineering task in a controlled repository.
2) Enforce human review, unit/integration tests, and security checks on all AI-generated output.
3) Package the winning prompt/context pattern as a reusable accelerator.</t>
  </si>
  <si>
    <t>BFSI</t>
  </si>
  <si>
    <t>EAS-BFSI-BA-01</t>
  </si>
  <si>
    <t>BRD to User Stories Auto-Generation</t>
  </si>
  <si>
    <t>AI converts BRD/SOW documents into structured epics, user stories, and acceptance criteria for LOS, LMS, SME, Mortgage and Cards projects.</t>
  </si>
  <si>
    <t>02/26/2026</t>
  </si>
  <si>
    <t>Requirements Engineering</t>
  </si>
  <si>
    <t>User Story Generation</t>
  </si>
  <si>
    <t>8-10 MD per project</t>
  </si>
  <si>
    <t>3-4 MD per project</t>
  </si>
  <si>
    <t>40-60% documentation effort reduction and improved traceability.</t>
  </si>
  <si>
    <t>All lending projects</t>
  </si>
  <si>
    <t>Upload BRD/SOW; AI generates structured backlog aligned with templates.</t>
  </si>
  <si>
    <t>Standardizes requirement quality across BFSI tower.</t>
  </si>
  <si>
    <t>BA Lead - BFSI</t>
  </si>
  <si>
    <t>Requires secure document environment.</t>
  </si>
  <si>
    <t>Strong BFSI BA accelerator. AI converts BRD/SOW into epics, user stories, and acceptance criteria for LOS/LMS/SME/Mortgage/Cards. Effort from 8–10 MD to 3–4 MD (40–60% reduction). Named owner (BA Lead – BFSI), tool confirmed (Copilot). No blocking gaps.</t>
  </si>
  <si>
    <t>High feasibility. BRD-to-user-story conversion is well-proven. Financial domain specificity (LOS, Mortgage) requires BFSI-aware prompt context. Risk: AI-generated acceptance criteria may miss regulatory and compliance constraints specific to banking. Mitigation: BFSI BA lead reviews all generated stories against regulatory requirements before backlog entry.</t>
  </si>
  <si>
    <t>1) Upload BRD/SOW (sanitized). 2) Provide BFSI context prompt (domain: LOS/Mortgage, regulatory constraints, acceptance criteria standards). 3) AI generates: epics, user stories, acceptance criteria, dependency notes. 4) BA Lead reviews against regulatory requirements. 5) Approved stories enter JIRA/ADO backlog. 6) Pilot: one LOS or Mortgage project BRD. 7) KPI: MD reduction per project; story quality score from delivery team.</t>
  </si>
  <si>
    <t>Pilot in Q2 2026</t>
  </si>
  <si>
    <t>EAS-BFSI-SA-01</t>
  </si>
  <si>
    <t>HLD/LLD Auto Drafting</t>
  </si>
  <si>
    <t>AI generates architecture diagrams, integration flows, sequence diagrams and NFR checklist from BRD and integration inputs.</t>
  </si>
  <si>
    <t>HLD/LLD Generation</t>
  </si>
  <si>
    <t>12-15 MD</t>
  </si>
  <si>
    <t>6-8 MD</t>
  </si>
  <si>
    <t>30-50% faster design cycle and reduced architecture review iterations.</t>
  </si>
  <si>
    <t>All integration-heavy programs</t>
  </si>
  <si>
    <t>Provide structured requirements and integration inventory.</t>
  </si>
  <si>
    <t>Improves governance and architectural consistency.</t>
  </si>
  <si>
    <t>Solution Architecture Lead</t>
  </si>
  <si>
    <t>Needs predefined templates.</t>
  </si>
  <si>
    <t>Strong architecture design accelerator. AI generates architecture diagrams, integration flows, sequence diagrams, and NFR checklists from BRD and integration inputs. Effort from 12–15 MD to 6–8 MD (30–50% reduction). Named owner (Solution Architecture Lead), tool confirmed (Copilot). Pilot: one integration-heavy BFSI program.</t>
  </si>
  <si>
    <t>High feasibility for diagram and documentation drafting. Risk: AI may propose inappropriate patterns for regulated banking environments. Mitigation: mandatory Architecture Review Board sign-off on all AI-generated architecture before baselining.</t>
  </si>
  <si>
    <t>1) Provide BRD and integration inventory (systems, APIs, data flows). 2) AI generates: HLD diagram, integration blueprint, sequence diagrams, NFR checklist. 3) Solution Architect reviews against banking environment constraints. 4) Architecture Review Board sign-off. 5) Baseline approved artifacts. 6) Pilot: one integration-heavy BFSI program. 7) KPI: design cycle time before vs after; review iterations needed.</t>
  </si>
  <si>
    <t>EAS-BFSI-DM-01</t>
  </si>
  <si>
    <t>Delivery Margin &amp; Resource Optimization Engine</t>
  </si>
  <si>
    <t>AI analyzes rate cards, MD allocation, and burn rate to predict margin impact and recommend resource optimization across towers.</t>
  </si>
  <si>
    <t>Monitoring &amp; Control</t>
  </si>
  <si>
    <t>Delivery Excellence</t>
  </si>
  <si>
    <t>Cost &amp; Margin Optimization</t>
  </si>
  <si>
    <t>Manual financial analysis per project</t>
  </si>
  <si>
    <t>Automated predictive margin modeling</t>
  </si>
  <si>
    <t>5-8% margin improvement and 10-15% resource optimization.</t>
  </si>
  <si>
    <t>Strategic BFSI accounts (ARB, Banking clients)</t>
  </si>
  <si>
    <t>Integrate PAS sheets and costing catalogues.</t>
  </si>
  <si>
    <t>Protects profitability while improving delivery efficiency.</t>
  </si>
  <si>
    <t>Delivery Management Head</t>
  </si>
  <si>
    <t>Requires access to financial sheets.</t>
  </si>
  <si>
    <t>Strong delivery excellence use case. AI analyzes rate cards, MD allocation, and burn rate to predict margin impact and recommend resource optimization. Outcome: 5–8% margin improvement, 10–15% resource optimization. Named owner (Delivery Management Head), tool confirmed (Copilot). Pilot: 2–3 accounts. No blocking gaps.</t>
  </si>
  <si>
    <t>High feasibility for margin modeling and optimization recommendations. Risk: AI recommendations may not account for contractual constraints or client-relationship implications of resource changes. Mitigation: Delivery Management Head reviews and approves all resource optimization actions before execution.</t>
  </si>
  <si>
    <t>1) Integrate PAS sheets and costing catalogues as AI input. 2) AI analyzes: rate card vs allocation, burn rate trends, margin variance per project. 3) AI generates: margin impact forecast, over/under-allocation flags, optimization recommendations. 4) Delivery Management Head reviews recommendations. 5) Approved actions implemented. 6) Pilot: 2–3 accounts. 7) KPI: margin % improvement; resource utilization before vs after.</t>
  </si>
  <si>
    <t>EPCS-AI-ECM-003</t>
  </si>
  <si>
    <t>AI-Assisted Excel Validation &amp; CSV Conversion Tool</t>
  </si>
  <si>
    <t>A Windows desktop application built using Python and Tkinter with AI assistance (GitHub Copilot) to validate, transform, and convert Excel data into structured CSV files with configurable business rules.</t>
  </si>
  <si>
    <t>Process Automation</t>
  </si>
  <si>
    <t>Data Validation &amp; Transformation</t>
  </si>
  <si>
    <t>8H</t>
  </si>
  <si>
    <t>Reduces manual data validation effort, minimizes human errors, improves data quality, accelerates data migration processes, and ensures consistency across datasets.</t>
  </si>
  <si>
    <t>Prepare Excel input with defined structure, configure validation rules (manually or via Excel/JSON), run validation, review errors, and export valid data to CSV.</t>
  </si>
  <si>
    <t>AI significantly accelerates development of internal tools, especially for data-heavy processes, and enables rapid prototyping with high-quality output.</t>
  </si>
  <si>
    <t>Can be enhanced with database integration or API-based validation for real-time processing.</t>
  </si>
  <si>
    <t>Blank</t>
  </si>
  <si>
    <t>Updated from blank to Accepted Idea because the row now shows enough problem clarity, AI relevance, business value, and a workable delivery path to govern as an AI use case.</t>
  </si>
  <si>
    <t>ERP</t>
  </si>
  <si>
    <t>ORACLE-AI-001</t>
  </si>
  <si>
    <t>Create Qualification Questions</t>
  </si>
  <si>
    <t>You can use Generative AI to suggest questions on topics such as sustainability, governance, financial viability, and various supplier risks.</t>
  </si>
  <si>
    <t>Analysis / Activation</t>
  </si>
  <si>
    <t>Platform AI Feature</t>
  </si>
  <si>
    <t>Procurement</t>
  </si>
  <si>
    <t>Reduces qualification question creation time and improves supplier evaluation consistency</t>
  </si>
  <si>
    <t>Activate AI qualification feature in Oracle Fusion Procurement tenant; procurement lead reviews and approves generated questions.</t>
  </si>
  <si>
    <t>Built-in Oracle AI feature; minimal setup required for activation</t>
  </si>
  <si>
    <t>Reham Ibrahim</t>
  </si>
  <si>
    <t>Built-in Oracle Fusion Cloud feature; no custom development required</t>
  </si>
  <si>
    <t>Oracle Fusion AI capabilities</t>
  </si>
  <si>
    <t>Q2 2026</t>
  </si>
  <si>
    <t>ORACLE-AI-002</t>
  </si>
  <si>
    <t>Discover New Suppliers</t>
  </si>
  <si>
    <t>Use generative Artificial Intelligence (AI) to discover suppliers who may or may not be currently registered but possess the capability to provide goods and services for your business. If you like a recommendation, you can register the supplier and invite them to participate in the negotiation.</t>
  </si>
  <si>
    <t>Accelerates supplier discovery and broadens sourcing options</t>
  </si>
  <si>
    <t>Activate Supplier Discovery AI in Oracle Fusion Procurement; configure search criteria and compliance filters.</t>
  </si>
  <si>
    <t>Built-in Oracle AI feature; enables efficient supplier sourcing</t>
  </si>
  <si>
    <t>Built-in Oracle Fusion Cloud feature; validate against Nitaqat/SASO compliance</t>
  </si>
  <si>
    <t>ORACLE-AI-003</t>
  </si>
  <si>
    <t>The Supplier Negotiation Details Agent</t>
  </si>
  <si>
    <t>The Negotiation Status Advisor agent provides users with real-time access to the status and details of their supplier negotiations directly through an AI chat interface, without requiring involvement from the procurement team or buyers.</t>
  </si>
  <si>
    <t>Reduces procurement team query workload and enables real-time negotiation visibility</t>
  </si>
  <si>
    <t>Activate Negotiation Status Advisor in Oracle Fusion Procurement; configure data access scope and user permissions.</t>
  </si>
  <si>
    <t>Built-in Oracle AI agent; improves self-service for negotiation tracking</t>
  </si>
  <si>
    <t>Built-in Oracle Fusion Cloud feature; confirm data sync frequency before go-live</t>
  </si>
  <si>
    <t>ORACLE-AI-004</t>
  </si>
  <si>
    <t>The Procurement Policy Advisor Agent</t>
  </si>
  <si>
    <t>Provides users with seamless access to procurement policies, allowing them to ask questions about products and services while ordering what they need to get their jobs done.</t>
  </si>
  <si>
    <t>Improves procurement policy compliance and reduces policy-related support queries</t>
  </si>
  <si>
    <t>Activate Procurement Policy Advisor in Oracle Fusion; upload and structure procurement policy documents into knowledge base.</t>
  </si>
  <si>
    <t>Built-in Oracle AI agent; supports self-service procurement policy guidance</t>
  </si>
  <si>
    <t>Built-in Oracle Fusion Cloud feature; requires procurement policy knowledge base maintenance</t>
  </si>
  <si>
    <t>ORACLE-AI-005</t>
  </si>
  <si>
    <t>Leave and Absence Analyst - AI Agent</t>
  </si>
  <si>
    <t>The Leave and Absence Analyst is an AI-powered digital assistant that helps you manage all aspects of your time off easily, accurately, and securely
- Whether you're checking your PTO balance, scheduling time off, donating leave to a colleague, or cashing out unused hours, this agent offers real-time support and guidance
- Built on Oracles AI Agent framework and powered by large language models (LLMs), the agent understands your natural language queries and responds with accurate, secure information based on your role and privileges</t>
  </si>
  <si>
    <t>HCM</t>
  </si>
  <si>
    <t>Reduces HR leave-query ticket volume and improves employee self-service</t>
  </si>
  <si>
    <t>Activate Leave and Absence Analyst agent in Oracle HCM Fusion; configure role-based data access; validate leave balance accuracy.</t>
  </si>
  <si>
    <t>Built-in Oracle HCM AI agent; enables employee self-service for time-off management</t>
  </si>
  <si>
    <t>Built-in Oracle HCM feature; requires HR data audit before activation</t>
  </si>
  <si>
    <t>ORACLE-AI-006</t>
  </si>
  <si>
    <t>Pay Analyst - AI Agent</t>
  </si>
  <si>
    <t>The Pay Analyst is your AI-powered digital assistant for payroll, designed to make payslip access and payroll history transparent and easy for every employee
- This digital worker enables you to review payslips, analyze key earnings and deductions, and clarify pay-related questionsâall through a secure, conversational interface
- Built on Oracles AI Agent framework and powered by advanced large language models (LLMs), the agent interprets your natural language questions and delivers accurate, role-based information within your security permissions</t>
  </si>
  <si>
    <t>Reduces payroll helpdesk ticket volume and improves employee pay transparency</t>
  </si>
  <si>
    <t>Activate Pay Analyst agent in Oracle HCM Fusion; confirm PDPL-aligned data access controls; pilot with HR and Finance before full rollout.</t>
  </si>
  <si>
    <t>Built-in Oracle HCM AI agent; improves employee self-service for payroll queries</t>
  </si>
  <si>
    <t>Built-in Oracle HCM feature; payroll data sensitivity requires strict role-based access</t>
  </si>
  <si>
    <t>ORACLE-AI-007</t>
  </si>
  <si>
    <t>Best Candidates AI Ranking</t>
  </si>
  <si>
    <t>Recruiters can use the Best Candidates feature to review the recommended best candidates for open job requisitions
- When the feature is enabled, you can see the Top Recommendations section in job requisitions
- Candidates are sorted in order of recommendations, and you can refine the list of recommended candidates to review or decide who to invite to apply for a job</t>
  </si>
  <si>
    <t>Recruiting</t>
  </si>
  <si>
    <t>Accelerates candidate shortlisting and reduces recruiter screening effort</t>
  </si>
  <si>
    <t>Activate Best Candidates AI in Oracle Recruiting Cloud; HR defines diversity criteria; AI ranking is advisory, not final.</t>
  </si>
  <si>
    <t>Built-in Oracle Recruiting AI feature; supports data-driven candidate evaluation</t>
  </si>
  <si>
    <t>Built-in Oracle Recruiting feature; bias monitoring recommended after activation</t>
  </si>
  <si>
    <t>ORACLE-AI-008</t>
  </si>
  <si>
    <t>Candidate Assistant Q&amp;A</t>
  </si>
  <si>
    <t>You can now answer candidate questions regarding job requisitions or the company using Oracle’s AI Assist, which is powered by Generative AI
- As a recruiter, all you need to do is define information about the job requisition or company using the features available in Recruiting, and AI Assist will retrieve the answers from these sources and display the response in an engaging and conversational manner
- This feature is an enhancement over the job- and company-related question intents that were previously used to answer candidate questions</t>
  </si>
  <si>
    <t>Improves candidate experience and reduces recruiter query handling time</t>
  </si>
  <si>
    <t>Activate Oracle AI Assist in Recruiting Cloud; recruiters populate job requisition and company Q&amp;A content; define content maintenance cadence.</t>
  </si>
  <si>
    <t>Built-in Oracle Recruiting AI feature; enhances candidate engagement</t>
  </si>
  <si>
    <t>Built-in Oracle Recruiting feature; requires ongoing content maintenance by recruiting team</t>
  </si>
  <si>
    <t>ORACLE-AI-009</t>
  </si>
  <si>
    <t>AI Agent for Job Skills Enrichment</t>
  </si>
  <si>
    <t>Enrich job profiles with AI-suggested skills using a new AI agent called Job Skills Enrichment
- This agent analyzes the job description, job title, skills associated with the job profile, your organization’s skills library, and other relevant HCM transactional data, and suggests new or additional skills that are relevant to the job profile
- Note: These skill suggestions are added as ‘pending’ (also known as uncurated)</t>
  </si>
  <si>
    <t>Enriches job profiles with relevant skills and reduces manual skills curation effort</t>
  </si>
  <si>
    <t>Activate Job Skills Enrichment agent in Oracle HCM; define minimum data quality thresholds; HR reviews AI-suggested skills before approval.</t>
  </si>
  <si>
    <t>Built-in Oracle HCM AI agent; supports skills-based talent management</t>
  </si>
  <si>
    <t>Built-in Oracle HCM feature; AI-suggested skills start as uncurated/pending for HR review</t>
  </si>
  <si>
    <t>ORACLE-AI-010</t>
  </si>
  <si>
    <t>AI Assistance Enhancements For Manager Evaluations In Redwood Performance  Documents</t>
  </si>
  <si>
    <t>Leverage Artificial Intelligence (AI) assistance for manager evaluations in Redwood performance documents
- with these enhancements: Enable managers to generate development tips for competencies based on manager entered comments, proficiencies, and ratings in addition to the competency name and description
- Provide feedback to managers if there's insufficient data to generate an overall summary comment to reduce misleading responses</t>
  </si>
  <si>
    <t>Accelerates manager evaluation process and improves development tip quality</t>
  </si>
  <si>
    <t>Activate AI Assistance in Redwood Performance Documents; define minimum data quality thresholds for AI generation to trigger.</t>
  </si>
  <si>
    <t>Built-in Oracle Performance AI feature; supports competency-based development</t>
  </si>
  <si>
    <t>Built-in Oracle HCM feature; requires minimum evaluation content quality for AI to generate tips</t>
  </si>
  <si>
    <t>ORACLE-AI-011</t>
  </si>
  <si>
    <t>Intelligent Account Combination Defaulting for Invoices</t>
  </si>
  <si>
    <t>AI-driven feature in Oracle Fusion Cloud Payables that automates the prediction and population of account code combination (distribution) segment value</t>
  </si>
  <si>
    <t>Payables</t>
  </si>
  <si>
    <t>Reduces manual account coding time and coding error rate for AP invoices</t>
  </si>
  <si>
    <t>Activate Intelligent Account Combination Defaulting in Oracle Fusion Payables; finance team reviews and approves defaulting rules.</t>
  </si>
  <si>
    <t>Built-in Oracle Payables AI feature; automates account code prediction</t>
  </si>
  <si>
    <t>Built-in Oracle Payables feature; monitor AI-defaulted invoices for accuracy during pilot</t>
  </si>
  <si>
    <t>ORACLE-AI-012</t>
  </si>
  <si>
    <t>Supplier Instruction Knowledge Agent</t>
  </si>
  <si>
    <t>RAG-powered AI agent that ingests supplier user guides and instruction documents, enabling business users to query supplier processes and procurement instructions through a conversational interface.</t>
  </si>
  <si>
    <t>Custom AI Agent</t>
  </si>
  <si>
    <t>Procurement Knowledge</t>
  </si>
  <si>
    <t>Reduces supplier instruction query time and improves procurement process self-service</t>
  </si>
  <si>
    <t>Define document scope; build RAG pipeline with document refresh schedule; business users query via chat; ERP owner reviews response accuracy monthly.</t>
  </si>
  <si>
    <t>Custom RAG solution; requires document ingestion pipeline and governance</t>
  </si>
  <si>
    <t>Requires document ingestion pipeline, data governance, and version-controlled refresh schedule</t>
  </si>
  <si>
    <t>ChatGPT, Azure OpenAI</t>
  </si>
  <si>
    <t>Q2-Q3 2026</t>
  </si>
  <si>
    <t>ERP-AI-002</t>
  </si>
  <si>
    <t>AI-Powered Oracle Fusion DM Validation and Generation HDL</t>
  </si>
  <si>
    <t>An AI-powered use case for validating and processing HR data for Oracle Fusion HCM using HCM Data Loader (HDL) format. The solution leverages AI platforms (Claude or ChatGPT) to automatically cleanse, validate, and transform Excel/CSV data into properly formatted HDL files ready for import into Oracle Fusion.</t>
  </si>
  <si>
    <t>Data Processing</t>
  </si>
  <si>
    <t xml:space="preserve">•	Reduces data preparation time by 80-90%
•	Eliminates manual errors in HDL file creation
•	Ensures data quality and compliance with Oracle standards
•	Provides transparent validation and error reporting
•	Supports complex multi-object HDL scenarios
</t>
  </si>
  <si>
    <t>Use AI on approved internal artifacts, then validate outputs by lead engineers or analysts before delivery.</t>
  </si>
  <si>
    <t>Reusable across multiple projects with minimal setup</t>
  </si>
  <si>
    <t>Requires Oracle HDL object mappings and mandatory field rules as AI input; HCM specialist validates before import</t>
  </si>
  <si>
    <t>ChatGPT, Claude</t>
  </si>
  <si>
    <t>ERP-AI-003</t>
  </si>
  <si>
    <t>SQL Query Generation via Claude AI</t>
  </si>
  <si>
    <t>Use AI to generate SQL queries for ERP reports using schema and business inputs</t>
  </si>
  <si>
    <t>27/01/2026</t>
  </si>
  <si>
    <t>Development / Support</t>
  </si>
  <si>
    <t>Productivity Enhancement</t>
  </si>
  <si>
    <t>Reporting Automation</t>
  </si>
  <si>
    <t>- 75–87% time reduction
- 90% error reduction
- Faster delivery
- Reduce dependency on experts
- Improve data accuracy</t>
  </si>
  <si>
    <t>- Provide schema and table structure
- Define business requirement clearly
- Validate output before production
- Store reusable queries</t>
  </si>
  <si>
    <t>- AI enables self-service reporting
- Scalable across teams
- Reduces workload
- Supports faster decision making</t>
  </si>
  <si>
    <t>Hassan Mantawy</t>
  </si>
  <si>
    <t>Requires Oracle schema documentation and approved table/view scope; DBA validation mandatory</t>
  </si>
  <si>
    <t>Claude AI</t>
  </si>
  <si>
    <t>ERP-AI-004</t>
  </si>
  <si>
    <t>AI-Augmented Oracle HCM Cloud Implementation Strategy</t>
  </si>
  <si>
    <t xml:space="preserve">This proposal introduces a Knowledge-Based Agent System that serves as an institutional expert across all Oracle HCM implementation phases. The system comprises two foundational components:
•	Centralized Knowledge Repository: A structured database containing historical project documentation (BRDs, fit-gap analyses, meeting minutes, MoSCoW prioritizations, future-state process maps, solution designs, technical specifications) and verified government policies from official sources (labor regulations, social insurance requirements, taxation rules, localization standards). Documents are tagged with metadata including industry vertical, public/private sector classification, implemented modules, and country-specific requirements.
•	AI Agent Layer: A generative AI system trained on the knowledge repository, capable of retrieval-augmented generation (RAG), natural language interaction, document drafting, policy analysis, and predictive risk assessment. The agent operates through defined workflows aligned with implementation methodology phases.
</t>
  </si>
  <si>
    <t>Entire Project Phases</t>
  </si>
  <si>
    <t xml:space="preserve">•	Time saved (estimated): 40% faster project delivery.
•	Effort reduced: 30-50% reduction in documentation workload.
•	Quality improvement: 40% fewer defects, 60% improved policy compliance, 35% better requirement completeness.
•	Reduction in errors or rework.
</t>
  </si>
  <si>
    <t xml:space="preserve">The system leverages vector database for semantic similarity matching. Documents undergo preprocessing: text extraction, embedding generation using OpenAI or Oracle Cohere models, and metadata tagging.
The AI agent utilizes a large language model (Oracle Generative AI, Azure OpenAI GPT-4, or AWS) configured for retrieval-augmented generation. When queried, the system retrieves top relevant document chunks, injects them as context into the prompt, and generates responses grounded in organizational knowledge.
</t>
  </si>
  <si>
    <t>Faster kickoff, reduced policy research effort, improved proposal quality.
Faster fit-gap completion, better solution consistency, improved requirement coverage.
Faster configuration setup, fewer errors, quicker data mapping.
Faster test preparation, broader coverage, quicker defect resolution, fewer post-go-live issues.
Faster training preparation, higher adoption, reduced support tickets.
Faster issue resolution, more optimization opportunities, increased managed services value.</t>
  </si>
  <si>
    <t>Hossam Farag</t>
  </si>
  <si>
    <t>Phased program requiring curated historical project assets, metadata discipline, and governed operating model</t>
  </si>
  <si>
    <t>Vector Database, LLM, RAG tools</t>
  </si>
  <si>
    <t>ORACLE-AI-013</t>
  </si>
  <si>
    <t>Supplier Aging Report Analysis Agent</t>
  </si>
  <si>
    <t>Custom AI agent that analyzes supplier aging reports and procurement documents, providing context-aware insights on outstanding balances, payment trends, and supplier risk indicators.</t>
  </si>
  <si>
    <t>Financial Analysis</t>
  </si>
  <si>
    <t>Reduces aging report analysis time and improves supplier risk visibility</t>
  </si>
  <si>
    <t>Clarify document scope; obtain legal/compliance clearance for document ingestion; build RAG pipeline with data residency controls.</t>
  </si>
  <si>
    <t>Custom RAG solution; requires compliance clearance and document governance</t>
  </si>
  <si>
    <t>Requires legal/compliance clearance for document ingestion; data residency controls needed</t>
  </si>
  <si>
    <t>update code for a specific requirement</t>
  </si>
  <si>
    <t>AI assistance review your code base, suggest changes, 
you try it, AI assistance suggest solutions for errors in execution time.</t>
  </si>
  <si>
    <t>The current entry is too generic or under-specified to govern as an AI use case. It needs clear platform context, measurable business value, and a defined delivery path before reconsideration.</t>
  </si>
  <si>
    <t>Low AI fit in the current form. The requested outcome is primarily deterministic engineering/automation work and is better implemented through standard tooling, templates, policies, or scripts than through AI-led generation.</t>
  </si>
  <si>
    <t>Use generic IDE copilot / prompt / agent assistance as an individual productivity aid only. Do not treat this as a governed AI use case until the platform, owner, workflow, KPI, and expected impact are explicitly defined.</t>
  </si>
  <si>
    <t>Kept as Not Accepted Idea because the row still lacks enough specificity to govern as an AI use case. The revised rationale makes the gap explicit and requests a bounded re-submission.</t>
  </si>
  <si>
    <t>ECC-PMO</t>
  </si>
  <si>
    <t>PM-01</t>
  </si>
  <si>
    <t>Project Planning</t>
  </si>
  <si>
    <t>AI-Assisted Project Planning &amp; Scheduling</t>
  </si>
  <si>
    <t>Planning</t>
  </si>
  <si>
    <t>PMs manually estimate timelines using past experience, spreadsheets, and scheduling tools. Takes time depdening upon the size of a project; estimation accuracy varies widely.</t>
  </si>
  <si>
    <t>AI models analyze historical project data, resource capacity, and dependencies to generate optimized schedules. Done in hours with scenario simulations.</t>
  </si>
  <si>
    <t>40-50% faster planning; data-driven estimates; built-in risk buffering; better resource utilization</t>
  </si>
  <si>
    <t>Historical project data, WBS, resource availability, team capacity, dependency list, project constraints</t>
  </si>
  <si>
    <t>Integrate AI planning tools, MS Project  and Copilot. Feed historical project data to improve model accuracy over time.</t>
  </si>
  <si>
    <t>PM</t>
  </si>
  <si>
    <t>PM-02</t>
  </si>
  <si>
    <t>Planning / Execution</t>
  </si>
  <si>
    <t>Intelligent Risk Identification &amp; Mitigation</t>
  </si>
  <si>
    <t>Risk workshops take varied time period. Risk registers are manually maintained. Early warning signals are often missed until issues escalate.</t>
  </si>
  <si>
    <t>AI continuously scans project signals (schedule, budget, velocity) to flag emerging risks and recommend mitigations proactively.</t>
  </si>
  <si>
    <t>Proactive risk management; 30-40% fewer surprises; reduced cost of late-stage rework</t>
  </si>
  <si>
    <t>Project schedule, budget burn data, team velocity, issue logs, stakeholder sentiment, change request history</t>
  </si>
  <si>
    <t>Deploy AI risk engines. Define risk thresholds and escalation protocols to operationalize AI alerts.</t>
  </si>
  <si>
    <t>ADI-AI-0034</t>
  </si>
  <si>
    <t>Reusable Prompt Library</t>
  </si>
  <si>
    <t>We need a Prompt Engineering library comprising reusable prompts and agents tailored to the different stages of a Secure SDLC. The library should support multiple technologies—primarily Java, .NET, Angular, and Spring Boot—and address key dimensions such as security, code review, best practices, testing, refactoring, and architecture. It should also be designed for easy customization to meet the specific needs of each project.</t>
  </si>
  <si>
    <t>1. Standardized AI Usage Across Projects
2. Faster Developer Onboarding
3. Improved Code Quality and Security
4. Increased Development Productivity</t>
  </si>
  <si>
    <t>Many</t>
  </si>
  <si>
    <t>Dependencies:
- Access to development standards and coding guidelines
- Security standards and secure coding policies
- Architecture documentation templates
Support Needed:
- collaboration between architects, developers, and security teams to define high-quality prompts
- repository or platform to store and manage the prompt library
- documentation describing prompt usage scenarios
Additional Comments:
The prompt library should be designed with modularity and customization in mind, allowing teams to adapt prompts</t>
  </si>
  <si>
    <r>
      <t>Target Technologies</t>
    </r>
    <r>
      <rPr>
        <sz val="11"/>
        <color theme="1"/>
        <rFont val="Calibri"/>
        <family val="2"/>
        <scheme val="minor"/>
      </rPr>
      <t xml:space="preserve">
-Java
- Spring Boot
- .NET</t>
    </r>
    <r>
      <rPr>
        <sz val="11"/>
        <color theme="1"/>
        <rFont val="Calibri"/>
        <family val="2"/>
        <scheme val="minor"/>
      </rPr>
      <t xml:space="preserve">
AI Tools</t>
    </r>
    <r>
      <rPr>
        <sz val="11"/>
        <color theme="1"/>
        <rFont val="Calibri"/>
        <family val="2"/>
        <scheme val="minor"/>
      </rPr>
      <t xml:space="preserve">
Github Copilot</t>
    </r>
  </si>
  <si>
    <t>ADI-AI-0037</t>
  </si>
  <si>
    <t>Migrate old design to new modern design pattern</t>
  </si>
  <si>
    <t>Use AI assistance to analyze existing legacy system designs and architecture documents, then propose and document a modernized design pattern aligned with current enterprise architecture practices.</t>
  </si>
  <si>
    <t>Design modernization - Non code</t>
  </si>
  <si>
    <t>1. Faster Architecture Design Preparation
2. Consistency Across Design Documents
3. Faster Modernization Planning</t>
  </si>
  <si>
    <t>1) Analyze the existing COBOL-based ATHS module to understand current business logic, dependencies, input/output structures, and integration points.
2) Identify candidate components and services for modernization based on business capability, technical complexity, and migration priority.
3) Define the target modern architecture, including service decomposition, integration approach, data handling, and technology stack alignment.
4) Use AI tools to assist in understanding legacy code, extracting logic, documenting flows, and suggesting equivalent modern design and code structure.
5) Migrate the functionality incrementally to the new architecture while preserving business behavior and validation rules.
6) Validate migrated components through functional testing, comparison with legacy outputs, and integration testing with surrounding systems.
7) Ensure proper handling of performance, security, logging, and operational support requirements in the modernized solution.
8) Maintain architect and SME review throughout the process to confirm correctness and avoid misinterpretation of legacy logic.
9) Document the migrated design, service interfaces, and key transformation decisions for future maintainability.
10) Establish a phased rollout and fallback approach to reduce migration risk and ensure business continuity.</t>
  </si>
  <si>
    <r>
      <rPr>
        <b/>
        <sz val="11"/>
        <color rgb="FF000000"/>
        <rFont val="Aptos"/>
      </rPr>
      <t xml:space="preserve">Dependencies:
</t>
    </r>
    <r>
      <rPr>
        <sz val="11"/>
        <color rgb="FF000000"/>
        <rFont val="Aptos"/>
      </rPr>
      <t xml:space="preserve">- Availability of existing architecture documentation such as HLD, LLD, system integration diagrams, technical design document, and code repositories
- Access to architectural standards and modernization guidelines used by the organization.
</t>
    </r>
    <r>
      <rPr>
        <b/>
        <sz val="11"/>
        <color rgb="FF000000"/>
        <rFont val="Aptos"/>
      </rPr>
      <t xml:space="preserve">
Support Needed:
</t>
    </r>
    <r>
      <rPr>
        <sz val="11"/>
        <color rgb="FF000000"/>
        <rFont val="Aptos"/>
      </rPr>
      <t xml:space="preserve">- Involvement of solution architects to validate modernization proposals
- Access to AI tools capable of analyzing architecture documents and suggesting design patterns
- collaboration with development teams to assess feasibility of proposed designs
</t>
    </r>
    <r>
      <rPr>
        <b/>
        <sz val="11"/>
        <color rgb="FF000000"/>
        <rFont val="Aptos"/>
      </rPr>
      <t xml:space="preserve">
Additional Remarks/Comments:
</t>
    </r>
    <r>
      <rPr>
        <sz val="11"/>
        <color rgb="FF000000"/>
        <rFont val="Aptos"/>
      </rPr>
      <t>This use case is particularly valuable for organizations maintaining legacy monolithic systems that need to be modernized to support new business requirements and technology platforms.</t>
    </r>
  </si>
  <si>
    <t>Migrate old code written in cobol (ATHS module) to modern archtecture</t>
  </si>
  <si>
    <r>
      <t>Input Sources</t>
    </r>
    <r>
      <rPr>
        <sz val="11"/>
        <color theme="1"/>
        <rFont val="Calibri"/>
        <family val="2"/>
        <scheme val="minor"/>
      </rPr>
      <t xml:space="preserve">
- Existing HLD and LLD documents
- Architecture diagrams
- System documentation
- Code repositories</t>
    </r>
    <r>
      <rPr>
        <sz val="11"/>
        <color theme="1"/>
        <rFont val="Calibri"/>
        <family val="2"/>
        <scheme val="minor"/>
      </rPr>
      <t xml:space="preserve">
Target Architecture Technologies</t>
    </r>
    <r>
      <rPr>
        <sz val="11"/>
        <color theme="1"/>
        <rFont val="Calibri"/>
        <family val="2"/>
        <scheme val="minor"/>
      </rPr>
      <t xml:space="preserve">
- Microservices architecture
- REST APIs
- Event-driven integration</t>
    </r>
    <r>
      <rPr>
        <sz val="11"/>
        <color theme="1"/>
        <rFont val="Calibri"/>
        <family val="2"/>
        <scheme val="minor"/>
      </rPr>
      <t xml:space="preserve">
AI Tools</t>
    </r>
    <r>
      <rPr>
        <sz val="11"/>
        <color theme="1"/>
        <rFont val="Calibri"/>
        <family val="2"/>
        <scheme val="minor"/>
      </rPr>
      <t xml:space="preserve">
Github Copilot</t>
    </r>
  </si>
  <si>
    <t>It should be at least 20%</t>
  </si>
  <si>
    <t>It needs Cobol expert + at least 10 days</t>
  </si>
  <si>
    <t>End of June</t>
  </si>
  <si>
    <t>ADI-AI-0038</t>
  </si>
  <si>
    <t>NFRs handling (understanding and generation)</t>
  </si>
  <si>
    <t>Understand existing and taking care of NFRs (e.g. performance)</t>
  </si>
  <si>
    <t>NFRs handling - Non code</t>
  </si>
  <si>
    <t>NFRs handling</t>
  </si>
  <si>
    <t>It needs legacy code experts + at least 10 days</t>
  </si>
  <si>
    <t>ADI-AI-0040</t>
  </si>
  <si>
    <t>Develop a reusable prompt library for Java microservices development, aligned with standardized practices, architectural patterns, project structure, and frameworks, within the context of the IBKR project in ARC. The project is currently in progress and dependent on the customer’s timeline, and may require support from Microsoft.</t>
  </si>
  <si>
    <t>Faster delivery with consistent and standardized practices</t>
  </si>
  <si>
    <t>Define the standardized practices, patterns, and mandated frameworks, and develop a reusable prompt library accordingly within the project implementation context</t>
  </si>
  <si>
    <t>Strong engineering case; add owner, toolchain, pilot scope, and measurable KPI.</t>
  </si>
  <si>
    <t>High feasibility for AI-assisted microservice development when bounded to scaffolding, API contracts, tests, and documentation under secure coding guardrails. Risk comes from unchecked business-logic generation or weak review discipline.</t>
  </si>
  <si>
    <t>1) Define Spring Boot standards, security rules, project structure, and API conventions for IBKR/ARC. 2) Build reusable prompts for controllers, services, DTOs, tests, and docs. 3) Use approved AI assistant in IDE. 4) Enforce peer review, SAST, and CI test gates on every AI-assisted change. 5) Measure cycle-time, rework, and defect escape rate.</t>
  </si>
  <si>
    <t>ADI-BA-02</t>
  </si>
  <si>
    <t>Gap Analysis Reports</t>
  </si>
  <si>
    <t>Automated current-state vs future-state gap analysis with remediation recommendations</t>
  </si>
  <si>
    <t>Strategy Analysis</t>
  </si>
  <si>
    <t>Gap Analysis</t>
  </si>
  <si>
    <t>Provide as-is and to-be documentation; AI identifies gaps; BA prioritizes actions</t>
  </si>
  <si>
    <t>Systematic gap identification prevents scope creep</t>
  </si>
  <si>
    <t>Requires business context</t>
  </si>
  <si>
    <t>Useful analysis accelerator; missing KPI, owner, tools, and adoption scope.</t>
  </si>
  <si>
    <t>High feasibility if as-is and to-be artifacts are available and business context is sufficient. AI is effective for surfacing structured gaps and remediation options, but BA/SME validation remains essential.</t>
  </si>
  <si>
    <t>1) Upload current-state and future-state artifacts. 2) Prompt AI to classify gaps by process, data, controls, and technology. 3) Generate remediation recommendations and priority bands. 4) BA/SME validate each gap. 5) Publish approved gap-analysis report and track analysis effort reduction.</t>
  </si>
  <si>
    <t>ADI-BA-03</t>
  </si>
  <si>
    <t>Process Flow Diagrams</t>
  </si>
  <si>
    <t>Automated BPMN/flowchart generation from process descriptions and business rules</t>
  </si>
  <si>
    <t>Process Modeling</t>
  </si>
  <si>
    <t>Describe business process steps; AI creates BPMN diagrams; Validate with stakeholders</t>
  </si>
  <si>
    <t>Visual models improve stakeholder communication</t>
  </si>
  <si>
    <t>Works with structured inputs</t>
  </si>
  <si>
    <t>Promising process-modeling aid; add toolchain, KPI, owner, and output standard.</t>
  </si>
  <si>
    <t>High feasibility when process inputs are structured and BPMN/flowchart standards are defined. Risk is over-simplified flows or missing exception paths if narrative inputs are weak.</t>
  </si>
  <si>
    <t>1) Capture process narratives, actors, decisions, and exceptions in a template. 2) Use AI to generate BPMN/flowchart draft. 3) Export to approved modeling tool. 4) Validate with stakeholders and BA. 5) Baseline final diagram and measure diagram drafting time before vs after.</t>
  </si>
  <si>
    <t>ADI-BA-04</t>
  </si>
  <si>
    <t>Data Model Creation</t>
  </si>
  <si>
    <t>AI-assisted entity-relationship diagram and data dictionary generation from requirements</t>
  </si>
  <si>
    <t>Solution Design</t>
  </si>
  <si>
    <t>1) Define the end-to-end B2B2C flow covering onboarding, station setup, payment initiation (QR/mobile), refunds, and reporting.
2) Extend Business Portal to support fuel company onboarding, wallet product activation, station management, and role-based access.
3) Introduce “Business Wallet Collection” product within URPAY and align it with consumer wallet capabilities and regulatory requirements.
4) Implement station management capabilities including GPS location upload, QR code generation, and station-level user creation with controlled permissions.
5) Enable multi-channel payment initiation (QR scan and mobile number) with real-time transaction processing.
6) Design and implement real-time reconciliation covering payments, refunds, and dispute handling.
7) Ensure secure and compliant transaction processing aligned with PCI-DSS and local regulatory requirements.
8) Integrate all components (Portal, Wallet, Payment channels, Backend systems) through standardized APIs and orchestration layer.
9) Implement monitoring, reporting, and analytics for business users covering transactions, settlements, and operational insights.
10) Leverage AI tools to assist in generating design artifacts, flows, and integration patterns, with mandatory architect validation.</t>
  </si>
  <si>
    <t>Describe data entities in requirements; AI generates ERD and attributes; DBA reviews</t>
  </si>
  <si>
    <t>Captures data relationships that might be overlooked</t>
  </si>
  <si>
    <t>Requires technical review</t>
  </si>
  <si>
    <t xml:space="preserve">Gas Station Payments:
Highlevel flow: Business onboarding → Wallet GAS Payment product → station/QR setup → dual payment (QR/mobile) → refund approval → reporting. 
Fuel company signs up via NL Business Portal. 
New "Business Wallet Collection" product enabled for URPAY consumer wallets. 
Company uploads station GPS locations; system generates station QR codes. 
Station users created (limited permissions) to initiate payment requests. 
Payment via URPAY QR scan or mobile number request. 
Real-time payment &amp; refund flows with approval steps. 
Comprehensive reporting. 
This isn't just a payment button. We're building an entire B2B2C ecosystem that includes: 
Business Portal expansion (new services, permissions, reporting) 
New Payment Product in URPAY (regulatory compliance, wallet integration) 
Station Management System (geolocation, QR generation, user roles) 
Real-time Reconciliation Engine (payments + refunds + disputes) 
Multi-channel Integration (QR, mobile number, future NFC) 
Compliance &amp; Security (PCI-DSS, Saudi payment regulations) </t>
  </si>
  <si>
    <t xml:space="preserve">Input Sources
- Approved requirements documentations
- Existing HLD and LLD documents
- Architecture diagrams
- System documentation
- Code repositories
Target Architecture Technologies
- Microservices architecture
- REST APIs
- Event-driven integration
AI Tools
Github Copilot
</t>
  </si>
  <si>
    <t>Good data-modeling aid; add measurable benefit, owner, tool, and review flow.</t>
  </si>
  <si>
    <t>High feasibility as an accelerator for ERD and data-dictionary drafts, not as a DBA replacement. Technical review is mandatory because AI may infer incorrect cardinality or naming if requirements are incomplete.</t>
  </si>
  <si>
    <t>1) Input entities, business terms, and sample attributes from requirements. 2) Ask AI to draft ERD, relationships, and data dictionary. 3) DBA/architect review cardinality, keys, naming, and normalization. 4) Approve and publish model. 5) Track modeling turnaround time and rework rate.</t>
  </si>
  <si>
    <t>Planned Design efforts was 55 MDs</t>
  </si>
  <si>
    <t>ADI-BA-06</t>
  </si>
  <si>
    <t>Requirements Document Generation</t>
  </si>
  <si>
    <t>AI-powered automated generation of BRD/FRS documents from stakeholder interviews and notes</t>
  </si>
  <si>
    <t>Document Automation</t>
  </si>
  <si>
    <t>Use AI to structure notes into BRD sections; Review and validate AI output; Maintain quality standards</t>
  </si>
  <si>
    <t>AI accelerates documentation but BA expertise remains critical for validation</t>
  </si>
  <si>
    <t>Requires BA review for accuracy</t>
  </si>
  <si>
    <t>Practical documentation case; missing KPI, owner, tool, and confidentiality controls.</t>
  </si>
  <si>
    <t>High feasibility for structuring interview notes into BRD/FRS sections if a review gate exists. Risk is introducing assumptions or omitting nuances from stakeholder narratives.</t>
  </si>
  <si>
    <t>1) Collect and redact interview notes/transcripts. 2) Use AI to organize content into BRD/FRS sections and open questions. 3) BA validates accuracy and fills gaps. 4) Publish reviewed draft only. 5) Track document-preparation time and review iterations saved.</t>
  </si>
  <si>
    <t>ADI-BA-07</t>
  </si>
  <si>
    <t>Non-Functional Requirements Specification</t>
  </si>
  <si>
    <t>AI-assisted NFRS creation covering performance, security, scalability, and usability</t>
  </si>
  <si>
    <t>Requirements Development</t>
  </si>
  <si>
    <t>NFR Documentation</t>
  </si>
  <si>
    <t>1. Faster NFR Documentation Preparation
2. Improved System Quality Planning
3. Reduced Risk of Missing Critical Requirements</t>
  </si>
  <si>
    <t>Describe system characteristics; AI generates NFR specifications; Architect validates</t>
  </si>
  <si>
    <t>Ensures critical quality attributes aren't overlooked</t>
  </si>
  <si>
    <t>Dependencies:
- Availability of functional requirements and use cases
- Architecture documentation (HLD or system overview)
- Operational constraints and infrastructure standards
- Security and compliance guidelines
Support Needed:
- Access to AI tools capable of analyzing requirements and generating structured specifications
- Validation support from solution architects and infrastructure teams
- Alignment with existing NFR documentation standards
Additional Remarks/Comments:
This use case is particularly valuable during system design and architecture phases, ensuring that non-functional requirements are identified early and incorporated into the system design.</t>
  </si>
  <si>
    <t>Input Sources:
- BRD documents
- Use case documentation
- Architecture design documents
- System constraints
- Infrastructure guidelines
Target Artifacts:
- Non-Functional Requirements Specification (NFRS)
- Quality attribute matrix
- System constraints documentation
- Architecture quality requirements
AI Tools
Github Copilot</t>
  </si>
  <si>
    <t>Strong NFR case; add owner, selected status, and pilot metrics.</t>
  </si>
  <si>
    <t>High feasibility if fed with FRs, architecture context, infrastructure constraints, and compliance standards. Risk is generic NFR text unless prompts force measurable thresholds and system-specific constraints.</t>
  </si>
  <si>
    <t>1) Collect FRs, architecture docs, security/compliance standards, and infrastructure constraints. 2) Use AI to generate draft NFRS with measurable thresholds. 3) Architect/security/infrastructure teams validate and adjust. 4) Baseline approved NFRS. 5) Measure missed-NFR issues and preparation time before vs after.</t>
  </si>
  <si>
    <t>ADI-BA-09</t>
  </si>
  <si>
    <t>Acceptance Criteria Creation</t>
  </si>
  <si>
    <t>Automated generation of Gherkin scenarios and acceptance criteria from functional requirements</t>
  </si>
  <si>
    <t>Acceptance Testing</t>
  </si>
  <si>
    <t>Input functional requirements into AI; Generate Given-When-Then scenarios; Review for completeness</t>
  </si>
  <si>
    <t>AI generates comprehensive test scenarios that BAs might miss</t>
  </si>
  <si>
    <t xml:space="preserve">Ahmed ElShahat </t>
  </si>
  <si>
    <t>Works best with clear FRs</t>
  </si>
  <si>
    <t>Useful testing aid; add KPI, owner, tool, and quality review workflow.</t>
  </si>
  <si>
    <t>High feasibility for transforming clear functional requirements into Gherkin and acceptance criteria. Risk is false completeness when source requirements are ambiguous or missing exception paths.</t>
  </si>
  <si>
    <t>1) Feed approved functional requirements into structured prompt. 2) Ask AI to generate Given-When-Then scenarios and acceptance criteria. 3) BA/QA review for completeness and business logic. 4) Publish to backlog/test repository. 5) Track criteria-preparation time and escaped requirement defects.</t>
  </si>
  <si>
    <t>ADI-BA-10</t>
  </si>
  <si>
    <t>User Story Creation (Agile)</t>
  </si>
  <si>
    <t>Automated user story generation with acceptance criteria for agile projects</t>
  </si>
  <si>
    <t>Agile Requirements</t>
  </si>
  <si>
    <t>User Story Writing</t>
  </si>
  <si>
    <t>Describe user needs; AI creates stories in standard format; Product Owner reviews</t>
  </si>
  <si>
    <t>Accelerates backlog creation and refinement</t>
  </si>
  <si>
    <t>Best for agile contexts</t>
  </si>
  <si>
    <t>Useful agile accelerator; missing KPI, owner, tooling, and backlog governance.</t>
  </si>
  <si>
    <t>High feasibility in agile teams when user needs and personas are well defined. AI can accelerate story drafting, but Product Owner review is mandatory to ensure prioritization and value alignment.</t>
  </si>
  <si>
    <t>1) Provide persona, need, value, and context in a story template. 2) Use AI to generate user stories and acceptance criteria. 3) Product Owner/BA review and refine. 4) Add approved stories to backlog. 5) Measure backlog drafting/refinement time before vs after.</t>
  </si>
  <si>
    <t>ADI-BA-11</t>
  </si>
  <si>
    <t>Requirements Specification Review</t>
  </si>
  <si>
    <t>AI-powered analysis of requirements documents for quality, completeness, and consistency</t>
  </si>
  <si>
    <t>Quality Assurance</t>
  </si>
  <si>
    <t>Document Review</t>
  </si>
  <si>
    <t>Upload BRD/FRS; AI analyzes against standards; BA addresses findings</t>
  </si>
  <si>
    <t>Provides objective quality metrics for deliverables</t>
  </si>
  <si>
    <t>Augments peer review</t>
  </si>
  <si>
    <t>Strong QA use case; add KPI, owner, tool, and remediation workflow.</t>
  </si>
  <si>
    <t>High feasibility for document-quality checks against templates and standards. Risk is over-reporting issues unless review criteria and severity definitions are standardized.</t>
  </si>
  <si>
    <t>1) Upload BRD/FRS and standards/template checklist. 2) Ask AI to score completeness, consistency, ambiguity, and traceability issues. 3) BA reviews findings and disposition. 4) Re-run after updates. 5) Track review effort, defect density, and document quality score improvement.</t>
  </si>
  <si>
    <t>ADI-BA-12</t>
  </si>
  <si>
    <t>Requirements Validation Checklists</t>
  </si>
  <si>
    <t>AI-generated quality check lists to validate completeness and SMART criteria</t>
  </si>
  <si>
    <t>Requirements Validation</t>
  </si>
  <si>
    <t>Submit requirements document; AI generates validation checklist; BA performs review</t>
  </si>
  <si>
    <t>Ensures all quality dimensions are evaluated</t>
  </si>
  <si>
    <t>Complements BA judgment</t>
  </si>
  <si>
    <t>Helpful quality aid; add toolchain, KPI, owner, and governance model.</t>
  </si>
  <si>
    <t>Moderate-to-high feasibility. AI can generate validation checklists from requirement content and quality standards, but the use case is closer to structured augmentation than deep autonomous reasoning.</t>
  </si>
  <si>
    <t>1) Provide requirement docs plus SMART/quality criteria. 2) Generate checklist by category: completeness, clarity, testability, traceability. 3) BA applies checklist and records findings. 4) Refine prompts from reviewer feedback. 5) Track checklist-preparation time and review coverage.</t>
  </si>
  <si>
    <t>ADI-BA-13</t>
  </si>
  <si>
    <t>SRS Technical Specification</t>
  </si>
  <si>
    <t>AI-powered solution architecture and technical specification generation from requirements</t>
  </si>
  <si>
    <t>Technical Documentation</t>
  </si>
  <si>
    <t>1. Faster Translation of Requirements to Technical Design
2. Improved Consistency of Technical Documentation
3. Faster Development Readiness</t>
  </si>
  <si>
    <t>Input approved requirements; AI generates SRS sections; Architect validates</t>
  </si>
  <si>
    <t>Bridges business and technical documentation</t>
  </si>
  <si>
    <t>Dependencies:
- Availability of requirement inputs such as:
    * BRD documents
    * Use case documentation
    * business rules documentation
    * Architecture constraints
- Access to architecture standards and documentation templates used by the organization.
Support Needed:
- Involvement of solution architects to validate generated technical specifications
- Access to AI tools capable of generating structured architecture and technical documentation
- Alignment with development standards and technology stacks used by the organization
Additional Remarks/Comments:
This use case is especially valuable in environments where technical specifications must be produced quickly while maintaining architectural consistency.</t>
  </si>
  <si>
    <r>
      <t>Input Sources</t>
    </r>
    <r>
      <rPr>
        <sz val="11"/>
        <color theme="1"/>
        <rFont val="Calibri"/>
        <family val="2"/>
        <scheme val="minor"/>
      </rPr>
      <t xml:space="preserve">
- BRD documents
- Use case specifications
- business rules documentation
- Architecture guidelines</t>
    </r>
    <r>
      <rPr>
        <sz val="11"/>
        <color theme="1"/>
        <rFont val="Calibri"/>
        <family val="2"/>
        <scheme val="minor"/>
      </rPr>
      <t xml:space="preserve">
Target Artifacts</t>
    </r>
    <r>
      <rPr>
        <sz val="11"/>
        <color theme="1"/>
        <rFont val="Calibri"/>
        <family val="2"/>
        <scheme val="minor"/>
      </rPr>
      <t xml:space="preserve">
- Software Requirements Specification (SRS)
- Architecture diagrams
- API specifications</t>
    </r>
    <r>
      <rPr>
        <sz val="11"/>
        <color theme="1"/>
        <rFont val="Calibri"/>
        <family val="2"/>
        <scheme val="minor"/>
      </rPr>
      <t xml:space="preserve">
AI Tools</t>
    </r>
    <r>
      <rPr>
        <sz val="11"/>
        <color theme="1"/>
        <rFont val="Calibri"/>
        <family val="2"/>
        <scheme val="minor"/>
      </rPr>
      <t xml:space="preserve">
GitHub Copilot</t>
    </r>
  </si>
  <si>
    <t>ADI-BA-14</t>
  </si>
  <si>
    <t>Requirements Traceability Matrix</t>
  </si>
  <si>
    <t>Automated RTM generation and maintenance linking requirements to design and test cases</t>
  </si>
  <si>
    <t>Requirements Management</t>
  </si>
  <si>
    <t>Traceability</t>
  </si>
  <si>
    <t>Upload all requirement documents; AI creates bidirectional links; Maintain updates</t>
  </si>
  <si>
    <t>Eliminates manual matrix maintenance errors</t>
  </si>
  <si>
    <t>Needs periodic validation</t>
  </si>
  <si>
    <t>ADI-BA-15</t>
  </si>
  <si>
    <t>Requirements Impact Analysis</t>
  </si>
  <si>
    <t>AI-powered change impact assessment across requirements, design, and test artifacts</t>
  </si>
  <si>
    <t>Change Management</t>
  </si>
  <si>
    <t>Input change request; AI traces impacts via RTM; BA assesses effort</t>
  </si>
  <si>
    <t>Prevents underestimation of change complexity</t>
  </si>
  <si>
    <t>Critical for change control</t>
  </si>
  <si>
    <t>GRC</t>
  </si>
  <si>
    <t>BFSI-GRC-01</t>
  </si>
  <si>
    <t>SQL Code Optimization</t>
  </si>
  <si>
    <t>using AI to optimize the SQL queries to remove full table scan.
In some of our PL/SQL code (SQL Queries), we are getting Full table scan. So in all such cases if the table is very huge, then the query performance is getting very slow and the execution time is very high which results in poor performance. So we need to optimize the code for to achieve better performance</t>
  </si>
  <si>
    <t>Development Acceleration and optimization</t>
  </si>
  <si>
    <t>5 Hours if performed manually</t>
  </si>
  <si>
    <t>1 hour</t>
  </si>
  <si>
    <t>80% reduction in time</t>
  </si>
  <si>
    <t>2 Developers</t>
  </si>
  <si>
    <t>1. Identifying the query that needs to optimized using the Execution plan in Toad or SQL Developer.
2. Clearly defining the joining conditions of different tables being used in the query.
3. Building indexes on the different columns being used on the joinging conditions.
4. taking help of AI to optimize the code</t>
  </si>
  <si>
    <t>Getting Optimized SQL Queries without full table scan</t>
  </si>
  <si>
    <t>Mohamed Essam</t>
  </si>
  <si>
    <t>Toad for Oracle, Copilot for taking help</t>
  </si>
  <si>
    <t>It will help us reduce the development time by at least 30%</t>
  </si>
  <si>
    <t>Project is ending in Jun 2026</t>
  </si>
  <si>
    <t>CES</t>
  </si>
  <si>
    <t>Document Generation</t>
  </si>
  <si>
    <t>AI assistance in analyzing BRDs helping in efficient generation for HLD and LLD structured Diagrams and business models to optimise Technical Leads and designers time</t>
  </si>
  <si>
    <t>Reduces documentation effort and improves consistency of HLD/LLD artifacts</t>
  </si>
  <si>
    <t>Use past project documents and templates as grounding input before generating HLD/LLD drafts; Technical Lead reviews before delivery.</t>
  </si>
  <si>
    <t>Reusable across multiple projects with minimal setup; standardizes documentation quality</t>
  </si>
  <si>
    <t>Norah Al Wabel</t>
  </si>
  <si>
    <t>Eraser AI &amp; Chatgpt</t>
  </si>
  <si>
    <t>Code optimization</t>
  </si>
  <si>
    <t>Enhancing C# Code to achieve more generic/reusable and better performing services/processes</t>
  </si>
  <si>
    <t>Improves code quality, reusability, and performance of C# services</t>
  </si>
  <si>
    <t>Use AI on approved internal code artifacts; validate optimized code through code review and automated tests before deployment.</t>
  </si>
  <si>
    <t>High value for recurring development optimization activities</t>
  </si>
  <si>
    <t>GitHub Copilot, Claude Code</t>
  </si>
  <si>
    <t>EPS</t>
  </si>
  <si>
    <t>EPS-BA-01</t>
  </si>
  <si>
    <t>Meeting Minutes (MoM) Auto-Drafting</t>
  </si>
  <si>
    <t>AI generates structured meeting minutes from recorded meeting transcripts, including attendees, decisions, action items, owners, and due dates, significantly reducing MoM preparation time.</t>
  </si>
  <si>
    <t>Meeting Documentation</t>
  </si>
  <si>
    <t>Reduces MoM preparation time and improves consistency of meeting documentation</t>
  </si>
  <si>
    <t>Capture or export meeting transcript; prompt AI to draft structured minutes; reviewer validates wording and confidentiality before sending.</t>
  </si>
  <si>
    <t>Yousef Milhem</t>
  </si>
  <si>
    <t>Requires accurate meeting transcript; sensitive information must be reviewed before external distribution</t>
  </si>
  <si>
    <t>Microsoft 365 Copilot, ChatGPT</t>
  </si>
  <si>
    <t>Capture or export meeting transcript, then prompt AI to draft structured minutes with attendees, decisions, actions, owners, and due dates. Reviewer validates wording and confidentiality before sending.</t>
  </si>
  <si>
    <t>EPS-BA-03</t>
  </si>
  <si>
    <t>Reverse Engineering Logic from Code</t>
  </si>
  <si>
    <t>During Requirement gathering, Shabbir &amp; ALI from ANB side shared the SQL stored procedures code files with us to get details about processing logic in TAPS for enrichment,validations, encryption as well as for narratives building.  I used ChatGpt to reverse engineer the logic. Using this only we could be able to complete our requirement gathering.</t>
  </si>
  <si>
    <t>Requirements Discovery</t>
  </si>
  <si>
    <t>Accelerates requirements gathering from legacy code and reduces dependency on original developers</t>
  </si>
  <si>
    <t>Provide sanitized stored procedures or code files; AI extracts logic, validations, and business rules; BA validates interpretation with SMEs.</t>
  </si>
  <si>
    <t>High value for recurring SDLC activities involving legacy systems</t>
  </si>
  <si>
    <t>Code confidentiality and analyst validation are mandatory; sanitize code before AI processing</t>
  </si>
  <si>
    <t>Provide sanitized stored procedures or code files, ask AI to extract logic, validations, rules, and narrative flows, then BA validates the interpretation with SMEs before using it in requirements baselines.</t>
  </si>
  <si>
    <t>EPS-BA-04</t>
  </si>
  <si>
    <t>SWIFT Message Reference and Sample Generation</t>
  </si>
  <si>
    <t>AI provides reference information on SWIFT message types, general processing flows, and sample data structures when official SWIFT documentation is not accessible, supporting requirements analysis and business discussions.</t>
  </si>
  <si>
    <t>Domain Knowledge Research</t>
  </si>
  <si>
    <t>Accelerates SWIFT-related requirements research and reduces dependency on documentation access</t>
  </si>
  <si>
    <t>Use AI for preliminary orientation and draft sample messages; validate all details against official SWIFT documentation or SME confirmation.</t>
  </si>
  <si>
    <t>Useful research accelerator; must verify against official sources</t>
  </si>
  <si>
    <t>AI-generated SWIFT details must be verified against official documentation; not to be treated as authoritative</t>
  </si>
  <si>
    <t>Use AI only for preliminary orientation or draft sample messages. Validate all message structures, processing details, and reference data against official SWIFT documentation or SME confirmation before use.</t>
  </si>
  <si>
    <t>EPS-BA-05</t>
  </si>
  <si>
    <t>Test Data Generation and Preparation</t>
  </si>
  <si>
    <t>AI generates realistic test data sets based on business scenarios, field constraints, and validation rules, reducing manual test data preparation effort and improving coverage.</t>
  </si>
  <si>
    <t>Test Data Preparation</t>
  </si>
  <si>
    <t>Reduces test data preparation effort and improves scenario coverage</t>
  </si>
  <si>
    <t>Define target scenario types, required fields, validation rules, and masking constraints; AI drafts test data sets; tester validates realism and coverage.</t>
  </si>
  <si>
    <t>Best suited for pilot-to-scale adoption with clear data constraints</t>
  </si>
  <si>
    <t>Requires clear scenario definitions and data constraint rules; needs structured scope before operationalization</t>
  </si>
  <si>
    <t>Define target scenario types, required fields, validation rules, and masking constraints. Use AI to draft representative test data sets, then tester validates realism and coverage before execution.</t>
  </si>
  <si>
    <t>EPS-QA-01</t>
  </si>
  <si>
    <t>Test Case Generation from User Stories</t>
  </si>
  <si>
    <t>AI derives comprehensive test cases including positive, negative, and boundary scenarios from approved user stories and acceptance criteria.</t>
  </si>
  <si>
    <t>Test Case Generation</t>
  </si>
  <si>
    <t>Speeds up test preparation and improves defect discovery through broader coverage</t>
  </si>
  <si>
    <t>Provide approved user stories and acceptance criteria; AI generates test cases; QA reviews and enriches before adding to test repository.</t>
  </si>
  <si>
    <t>Proven GenAI pattern; story quality directly affects output quality</t>
  </si>
  <si>
    <t>Story quality strongly affects output quality; QA review mandatory for domain and integration coverage</t>
  </si>
  <si>
    <t>Provide approved user stories and acceptance criteria, generate positive/negative/boundary test cases with AI, then QA reviews and enriches them before adding to the test repository.</t>
  </si>
  <si>
    <t>EPS-QA-02</t>
  </si>
  <si>
    <t>User Story Enhancement for Tester Readability</t>
  </si>
  <si>
    <t>AI enhances story descriptions and acceptance criteria into tester-readable format with explicit scenarios and assumptions, while preserving intent and traceability.</t>
  </si>
  <si>
    <t>Analysis / Testing</t>
  </si>
  <si>
    <t>Requirements Readability</t>
  </si>
  <si>
    <t>Improves requirement clarity and reduces tester interpretation errors</t>
  </si>
  <si>
    <t>Feed original story and acceptance criteria to AI; request tester-oriented reformulation; QA or BA validates against source story.</t>
  </si>
  <si>
    <t>Must preserve intent and traceability to original requirement</t>
  </si>
  <si>
    <t>Feed the original story and acceptance criteria to AI, ask for tester-oriented reformulation with explicit scenarios and assumptions, then QA or BA validates against the source story before use.</t>
  </si>
  <si>
    <t>EPS-BA-06</t>
  </si>
  <si>
    <t>AI-Assisted User Guide Drafting</t>
  </si>
  <si>
    <t>AI generates structured user guide content from scripts, process steps, and system descriptions, producing professional documentation drafts for review and refinement.</t>
  </si>
  <si>
    <t>User Guide Generation</t>
  </si>
  <si>
    <t>Reduces documentation effort and improves consistency of user guides</t>
  </si>
  <si>
    <t>Provide scripts, process steps, screenshots, and approved user-guide template; AI drafts structured content; SME or BA reviews for correctness.</t>
  </si>
  <si>
    <t>Best suited for pilot-to-scale adoption with standard templates</t>
  </si>
  <si>
    <t>Output quality depends on structured source material and standard template availability</t>
  </si>
  <si>
    <t>Provide scripts, process steps, screenshots, and the approved user-guide template. Use AI to draft structured paragraphs and candidate visuals, then SME or BA reviews for correctness and usability.</t>
  </si>
  <si>
    <t>EPS-DEV-01</t>
  </si>
  <si>
    <t>Issue Resolution and Code Fix Acceleration</t>
  </si>
  <si>
    <t>AI-assisted analysis and resolution of development tickets including SQL execution issues, code performance bottlenecks, and runtime errors. AI suggests root causes and optimized fixes to accelerate ticket closure.</t>
  </si>
  <si>
    <t>Development Acceleration</t>
  </si>
  <si>
    <t>Issue Resolution</t>
  </si>
  <si>
    <t>Accelerates ticket resolution and improves code quality</t>
  </si>
  <si>
    <t>Capture error context and relevant code; AI suggests root cause and optimized fix; developer validates before applying.</t>
  </si>
  <si>
    <t>High value for recurring development support activities</t>
  </si>
  <si>
    <t>Requires SPOC validation before scale-up; developer must test all fixes in non-prod</t>
  </si>
  <si>
    <t>EPS-DEV-02</t>
  </si>
  <si>
    <t>Pull Request Drafting and Code Review Assistance</t>
  </si>
  <si>
    <t>AI assists in drafting pull request descriptions, summarizing code changes, and performing preliminary code review to identify potential issues before human review.</t>
  </si>
  <si>
    <t>Code Review</t>
  </si>
  <si>
    <t>Accelerates code review process and improves PR quality and consistency</t>
  </si>
  <si>
    <t>Use AI to generate PR description from diff; AI performs preliminary review; lead engineer validates before merge.</t>
  </si>
  <si>
    <t>Reusable across all development projects with minimal setup</t>
  </si>
  <si>
    <t>Requires prompt template standardization; lead engineer approval mandatory</t>
  </si>
  <si>
    <t>EPS-DEV-04</t>
  </si>
  <si>
    <t>AI-Augmented Development Process Enhancement</t>
  </si>
  <si>
    <t>Leverage AI tools to accelerate development workflows including code scaffolding, API integration research, technical documentation, and internal POC development for emerging technologies.</t>
  </si>
  <si>
    <t>Process Optimization</t>
  </si>
  <si>
    <t>Accelerates development workflows and reduces effort for routine engineering tasks</t>
  </si>
  <si>
    <t>Use AI for code scaffolding, API research, and internal POCs; validate outputs through practice leads before delivery.</t>
  </si>
  <si>
    <t>Umbrella use case covering development workflow improvements; best suited for project-level pilots</t>
  </si>
  <si>
    <t>Incorporates AI in Development POCs concept; requires prompt template standardization</t>
  </si>
  <si>
    <t>GitHub Copilot, Claude Code, ChatGPT</t>
  </si>
  <si>
    <t>EPCS-AI-118</t>
  </si>
  <si>
    <t>application development and configuration</t>
  </si>
  <si>
    <t>Alfresco  ECM serach capabilites</t>
  </si>
  <si>
    <t>Development / support</t>
  </si>
  <si>
    <t>Code generation</t>
  </si>
  <si>
    <t>Faser to finalize customer CR</t>
  </si>
  <si>
    <t xml:space="preserve">add and configure HTTP-to-HTTPS proxy to Alfresco Kubernetes cluster to keep Elastisearch secured </t>
  </si>
  <si>
    <t>Ahmed AlSareti</t>
  </si>
  <si>
    <t>24 working hours</t>
  </si>
  <si>
    <t>EPCS-AI-119</t>
  </si>
  <si>
    <t>application development</t>
  </si>
  <si>
    <t>Alfresco ECM front-end application</t>
  </si>
  <si>
    <t>Code modernization</t>
  </si>
  <si>
    <t>enhance internal web applications development</t>
  </si>
  <si>
    <t>update Alfresco workspace front-end application (Angular) to allow search by metadata</t>
  </si>
  <si>
    <t>48 working hours</t>
  </si>
  <si>
    <t>ERP-AI-005</t>
  </si>
  <si>
    <t>AI-Powered ERP Reporting &amp; Documentation Automation</t>
  </si>
  <si>
    <t>End-to-end AI-assisted workflow for ERP reporting tasks including requirement analysis, SQL development, RTF template generation, TDD creation, and knowledge management to improve productivity and reduce manual effort.</t>
  </si>
  <si>
    <t>Design, Development, Testing, Documentation</t>
  </si>
  <si>
    <t>ERP Reporting Automation &amp; Knowledge Management</t>
  </si>
  <si>
    <t>3 Days per task</t>
  </si>
  <si>
    <t>Reduced by 15%–20% (2.4–2.55 Days)</t>
  </si>
  <si>
    <t>Faster delivery, reduced manual effort, fewer SQL errors, improved documentation quality, enhanced knowledge reuse, reduced dependency on individuals</t>
  </si>
  <si>
    <t>Currently Individual Level (Expected to scale to Team Level)</t>
  </si>
  <si>
    <t>Use AI tools (ChatGPT, Claude) across lifecycle: requirement capture, SQL generation, RTF creation, and TDD generation. Maintain structured knowledge repository. Standardize prompts and outputs.</t>
  </si>
  <si>
    <t>Transition from task-based AI usage to full lifecycle AI integration. Build long-term AI-powered knowledge repository for scalable productivity gains (target 30%+).</t>
  </si>
  <si>
    <t>Doaa Mostafa</t>
  </si>
  <si>
    <t>This initiative requires management support, along with a consistent documentation effort (approximately 1–2 hours per week). A centralized repository is essential for effective knowledge sharing, in addition to securing a company license for Claude to support AI-driven documentation and collaboration.</t>
  </si>
  <si>
    <t>In Progress (Individual Usage Phase)</t>
  </si>
  <si>
    <t>4.8 to 7.2 hours per task</t>
  </si>
  <si>
    <t>3 Phases (Individual → Team → Organization-wide)</t>
  </si>
  <si>
    <t>Phase 1: 0–6 months
Phase 2: 12–24 months
Phase 3: 24+ months</t>
  </si>
  <si>
    <t>Expected Multi-Project Adoption (5+ initially, scalable across ERP projects)</t>
  </si>
  <si>
    <t>ERP-AI-006</t>
  </si>
  <si>
    <t>AI-Driven HDL Data Migration Automation</t>
  </si>
  <si>
    <t>AI-powered solution to automate data cleansing, validation, mapping, error prediction, and HDL file generation for Oracle HCM data migration, reducing manual effort and improving upload success rate.</t>
  </si>
  <si>
    <t>Data Preparation, Development, Testing, Deployment</t>
  </si>
  <si>
    <t>Data Migration Automation (HCM / HDL)</t>
  </si>
  <si>
    <t>Several Days (depending on data volume)</t>
  </si>
  <si>
    <t>Reduced to Few Hours</t>
  </si>
  <si>
    <t>Faster migration cycles, improved data accuracy, reduced upload failures, minimized rework, lower dependency on multiple consultants, improved project delivery timelines</t>
  </si>
  <si>
    <t>Currently Idea Phase (Planned for Implementation)</t>
  </si>
  <si>
    <t>Use AI tools (ChatGPT, Claude) for data validation, mapping, and HDL generation. Build reusable templates for common objects. Integrate AI checks before HDL upload. Maintain structured validation rules.</t>
  </si>
  <si>
    <t>AI can transform data migration from manual iterative process to automated intelligent workflow. Strong potential for reuse across all HCM projects.</t>
  </si>
  <si>
    <t>Requires predefined mapping templates, access to clean source data, and validation rules standardization. Dependency on business data quality,in addition to securing a company license for Claude to support AI-driven documentation and collaboration.</t>
  </si>
  <si>
    <t>16 to 24 hours per migration cycle</t>
  </si>
  <si>
    <t>Pilot → Expand → Standardize (3 phases)</t>
  </si>
  <si>
    <t>Phase 1: 0–3 months (Pilot)
Phase 2: 3–9 months (Expand)
Phase 3: 9–18 months (Full adoption)</t>
  </si>
  <si>
    <t>High potential (All HCM / Fusion Migration Projects – 10+ projects)</t>
  </si>
  <si>
    <t>Count of old Validation Feedback</t>
  </si>
  <si>
    <t>Done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</si>
</sst>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numFmts>
  <fonts count="29">
    <font>
      <sz val="11"/>
      <color theme="1"/>
      <name val="Calibri"/>
      <family val="2"/>
      <scheme val="minor"/>
    </font>
    <font>
      <sz val="11"/>
      <color theme="1"/>
      <name val="Calibri"/>
      <scheme val="minor"/>
    </font>
    <font>
      <sz val="11"/>
      <color theme="1"/>
      <name val="Calibri"/>
      <scheme val="minor"/>
    </font>
    <font>
      <sz val="8"/>
      <name val="Calibri"/>
      <family val="2"/>
      <scheme val="minor"/>
    </font>
    <font>
      <sz val="11"/>
      <color theme="1"/>
      <name val="Aptos"/>
      <family val="2"/>
    </font>
    <font>
      <sz val="11"/>
      <name val="Aptos"/>
      <family val="2"/>
    </font>
    <font>
      <sz val="10"/>
      <color rgb="FF000000"/>
      <name val="Aptos"/>
      <family val="2"/>
    </font>
    <font>
      <sz val="11"/>
      <color rgb="FF000000"/>
      <name val="Aptos"/>
      <family val="2"/>
    </font>
    <font>
      <sz val="12"/>
      <color rgb="FF000000"/>
      <name val="Aptos"/>
      <family val="2"/>
    </font>
    <font>
      <sz val="11"/>
      <color theme="1"/>
      <name val="Aptos"/>
    </font>
    <font>
      <sz val="11"/>
      <color rgb="FF000000"/>
      <name val="Calibri"/>
    </font>
    <font>
      <b/>
      <sz val="11"/>
      <color rgb="FF000000"/>
      <name val="Calibri"/>
    </font>
    <font>
      <sz val="11"/>
      <color rgb="FF000000"/>
      <name val="Aptos"/>
    </font>
    <font>
      <b/>
      <sz val="11"/>
      <color rgb="FF000000"/>
      <name val="Aptos"/>
      <family val="2"/>
    </font>
    <font>
      <b/>
      <sz val="11"/>
      <color rgb="FF000000"/>
      <name val="Aptos"/>
    </font>
    <font>
      <sz val="11"/>
      <color rgb="FF242424"/>
      <name val="Aptos"/>
      <family val="2"/>
    </font>
    <font>
      <sz val="11"/>
      <color rgb="FF9C5700"/>
      <name val="Aptos"/>
    </font>
    <font>
      <sz val="11"/>
      <color rgb="FF000000"/>
      <name val="Arial"/>
    </font>
    <font>
      <sz val="11"/>
      <color rgb="FFFF0000"/>
      <name val="Aptos"/>
    </font>
    <font>
      <sz val="11"/>
      <color rgb="FF9C5700"/>
      <name val="Aptos"/>
      <family val="2"/>
    </font>
    <font>
      <sz val="10"/>
      <name val="Aptos"/>
      <family val="2"/>
    </font>
    <font>
      <sz val="11"/>
      <color rgb="FF9C0006"/>
      <name val="Aptos"/>
    </font>
    <font>
      <b/>
      <sz val="11"/>
      <color rgb="FFFF0000"/>
      <name val="Aptos"/>
    </font>
    <font>
      <sz val="11"/>
      <color rgb="FF000000"/>
      <name val="Arial"/>
      <family val="2"/>
    </font>
    <font>
      <b/>
      <sz val="10"/>
      <color rgb="FF000000"/>
      <name val="Aptos"/>
      <family val="2"/>
    </font>
    <font>
      <sz val="11"/>
      <color rgb="FF006100"/>
      <name val="Aptos"/>
      <family val="2"/>
    </font>
    <font>
      <sz val="11"/>
      <color rgb="FF9C0006"/>
      <name val="Aptos"/>
      <family val="2"/>
    </font>
    <font>
      <b/>
      <sz val="11"/>
      <color rgb="FFFF0000"/>
      <name val="Calibri"/>
      <family val="2"/>
      <scheme val="minor"/>
    </font>
    <font>
      <b/>
      <sz val="11"/>
      <color rgb="FF000000"/>
      <name val="Arial"/>
      <family val="2"/>
    </font>
  </fonts>
  <fills count="25">
    <fill>
      <patternFill patternType="none"/>
    </fill>
    <fill>
      <patternFill patternType="gray125"/>
    </fill>
    <fill>
      <patternFill patternType="solid">
        <fgColor theme="5" tint="0.39997558519241921"/>
        <bgColor indexed="64"/>
      </patternFill>
    </fill>
    <fill>
      <patternFill patternType="solid">
        <fgColor rgb="FF92D050"/>
        <bgColor indexed="64"/>
      </patternFill>
    </fill>
    <fill>
      <patternFill patternType="solid">
        <fgColor rgb="FFD9E1F2"/>
        <bgColor rgb="FFD9E1F2"/>
      </patternFill>
    </fill>
    <fill>
      <patternFill patternType="solid">
        <fgColor rgb="FF92D050"/>
        <bgColor rgb="FF000000"/>
      </patternFill>
    </fill>
    <fill>
      <patternFill patternType="solid">
        <fgColor rgb="FFFFFF00"/>
        <bgColor rgb="FF000000"/>
      </patternFill>
    </fill>
    <fill>
      <patternFill patternType="solid">
        <fgColor rgb="FFFFFFFF"/>
        <bgColor rgb="FF000000"/>
      </patternFill>
    </fill>
    <fill>
      <patternFill patternType="solid">
        <fgColor theme="8" tint="0.79998168889431442"/>
        <bgColor theme="8" tint="0.79998168889431442"/>
      </patternFill>
    </fill>
    <fill>
      <patternFill patternType="solid">
        <fgColor rgb="FFFFEB9C"/>
        <bgColor rgb="FFD9E1F2"/>
      </patternFill>
    </fill>
    <fill>
      <patternFill patternType="solid">
        <fgColor theme="0"/>
        <bgColor indexed="64"/>
      </patternFill>
    </fill>
    <fill>
      <patternFill patternType="solid">
        <fgColor rgb="FFFFFFFF"/>
        <bgColor indexed="64"/>
      </patternFill>
    </fill>
    <fill>
      <patternFill patternType="solid">
        <fgColor rgb="FFD9E1F2"/>
        <bgColor indexed="64"/>
      </patternFill>
    </fill>
    <fill>
      <patternFill patternType="solid">
        <fgColor rgb="FFFFEB9C"/>
        <bgColor rgb="FF000000"/>
      </patternFill>
    </fill>
    <fill>
      <patternFill patternType="solid">
        <fgColor rgb="FFF8CBAD"/>
        <bgColor rgb="FF000000"/>
      </patternFill>
    </fill>
    <fill>
      <patternFill patternType="solid">
        <fgColor theme="4" tint="0.39997558519241921"/>
        <bgColor indexed="64"/>
      </patternFill>
    </fill>
    <fill>
      <patternFill patternType="solid">
        <fgColor rgb="FFF2F7FB"/>
      </patternFill>
    </fill>
    <fill>
      <patternFill patternType="solid">
        <fgColor rgb="FFC6EFCE"/>
        <bgColor rgb="FF000000"/>
      </patternFill>
    </fill>
    <fill>
      <patternFill patternType="solid">
        <fgColor rgb="FFFFC7CE"/>
        <bgColor rgb="FF000000"/>
      </patternFill>
    </fill>
    <fill>
      <patternFill patternType="solid">
        <fgColor rgb="FFE7E6E6"/>
        <bgColor rgb="FF000000"/>
      </patternFill>
    </fill>
    <fill>
      <patternFill patternType="solid">
        <fgColor rgb="FFC6EFCE"/>
        <bgColor rgb="FFD9E1F2"/>
      </patternFill>
    </fill>
    <fill>
      <patternFill patternType="solid">
        <fgColor rgb="FF9BC2E6"/>
        <bgColor rgb="FF000000"/>
      </patternFill>
    </fill>
    <fill>
      <patternFill patternType="solid">
        <fgColor rgb="FFFFC7CE"/>
        <bgColor rgb="FFD9E1F2"/>
      </patternFill>
    </fill>
    <fill>
      <patternFill patternType="solid">
        <fgColor rgb="FFFFFF00"/>
        <bgColor indexed="64"/>
      </patternFill>
    </fill>
    <fill>
      <patternFill patternType="solid">
        <fgColor rgb="FFFFF2CC"/>
        <bgColor rgb="FF000000"/>
      </patternFill>
    </fill>
  </fills>
  <borders count="14">
    <border>
      <left/>
      <right/>
      <top/>
      <bottom/>
      <diagonal/>
    </border>
    <border>
      <left/>
      <right/>
      <top style="thin">
        <color rgb="FF8EA9DB"/>
      </top>
      <bottom style="thin">
        <color rgb="FF8EA9DB"/>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67">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pivotButton="1"/>
    <xf numFmtId="0" fontId="2" fillId="0" borderId="0" xfId="0" applyFont="1" applyAlignment="1">
      <alignment vertical="center"/>
    </xf>
    <xf numFmtId="0" fontId="9" fillId="0" borderId="0" xfId="0" applyFont="1"/>
    <xf numFmtId="0" fontId="0" fillId="0" borderId="2" xfId="0" applyBorder="1" applyAlignment="1">
      <alignment horizontal="left" vertical="top" wrapText="1"/>
    </xf>
    <xf numFmtId="0" fontId="0" fillId="0" borderId="3" xfId="0" pivotButton="1" applyBorder="1"/>
    <xf numFmtId="0" fontId="0" fillId="0" borderId="3" xfId="0" applyBorder="1"/>
    <xf numFmtId="0" fontId="0" fillId="0" borderId="3" xfId="0" applyBorder="1" applyAlignment="1">
      <alignment horizontal="left"/>
    </xf>
    <xf numFmtId="0" fontId="23" fillId="0" borderId="0" xfId="0" applyFont="1"/>
    <xf numFmtId="0" fontId="4" fillId="0" borderId="2" xfId="0" applyFont="1" applyBorder="1" applyAlignment="1">
      <alignment horizontal="center" vertical="center"/>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0" fontId="10" fillId="4" borderId="2" xfId="0" applyFont="1" applyFill="1" applyBorder="1" applyAlignment="1">
      <alignment wrapText="1"/>
    </xf>
    <xf numFmtId="0" fontId="0" fillId="8" borderId="2" xfId="0" applyFill="1" applyBorder="1" applyAlignment="1">
      <alignment wrapText="1"/>
    </xf>
    <xf numFmtId="0" fontId="14" fillId="7" borderId="2" xfId="0" applyFont="1" applyFill="1" applyBorder="1" applyAlignment="1">
      <alignment wrapText="1"/>
    </xf>
    <xf numFmtId="0" fontId="12" fillId="7" borderId="2" xfId="0" applyFont="1" applyFill="1" applyBorder="1" applyAlignment="1">
      <alignment wrapText="1"/>
    </xf>
    <xf numFmtId="0" fontId="4" fillId="0" borderId="2" xfId="0" applyFont="1" applyBorder="1" applyAlignment="1">
      <alignment horizontal="left"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4" fillId="0" borderId="2" xfId="0" applyFont="1" applyBorder="1" applyAlignment="1">
      <alignment horizontal="left" vertical="center"/>
    </xf>
    <xf numFmtId="0" fontId="10" fillId="0" borderId="2" xfId="0" applyFont="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0" fontId="14" fillId="0" borderId="2" xfId="0" applyFont="1" applyBorder="1" applyAlignment="1">
      <alignment wrapText="1"/>
    </xf>
    <xf numFmtId="0" fontId="4" fillId="15" borderId="2" xfId="0" applyFont="1" applyFill="1" applyBorder="1" applyAlignment="1">
      <alignment horizontal="center" vertical="center"/>
    </xf>
    <xf numFmtId="0" fontId="7" fillId="15" borderId="2" xfId="0" applyFont="1" applyFill="1" applyBorder="1" applyAlignment="1">
      <alignment horizontal="left" vertical="center"/>
    </xf>
    <xf numFmtId="0" fontId="7" fillId="15" borderId="2" xfId="0" applyFont="1" applyFill="1" applyBorder="1" applyAlignment="1">
      <alignment horizontal="left" vertical="center" wrapText="1"/>
    </xf>
    <xf numFmtId="0" fontId="12" fillId="15" borderId="2" xfId="0" applyFont="1" applyFill="1" applyBorder="1" applyAlignment="1">
      <alignment horizontal="left" vertical="center" wrapText="1"/>
    </xf>
    <xf numFmtId="0" fontId="12" fillId="15" borderId="2" xfId="0" applyFont="1" applyFill="1" applyBorder="1" applyAlignment="1">
      <alignment wrapText="1"/>
    </xf>
    <xf numFmtId="0" fontId="14" fillId="15" borderId="2" xfId="0" applyFont="1" applyFill="1" applyBorder="1" applyAlignment="1">
      <alignment horizontal="left" vertical="top" wrapText="1"/>
    </xf>
    <xf numFmtId="0" fontId="14" fillId="15" borderId="2" xfId="0" applyFont="1" applyFill="1" applyBorder="1" applyAlignment="1">
      <alignment wrapText="1"/>
    </xf>
    <xf numFmtId="0" fontId="4" fillId="15" borderId="2" xfId="0" applyFont="1" applyFill="1" applyBorder="1" applyAlignment="1">
      <alignment horizontal="left" vertical="center" wrapText="1"/>
    </xf>
    <xf numFmtId="9" fontId="4" fillId="15" borderId="2" xfId="0" applyNumberFormat="1" applyFont="1" applyFill="1" applyBorder="1" applyAlignment="1">
      <alignment horizontal="left" vertical="center"/>
    </xf>
    <xf numFmtId="0" fontId="4" fillId="15" borderId="2" xfId="0" applyFont="1" applyFill="1" applyBorder="1" applyAlignment="1">
      <alignment horizontal="left" vertical="center"/>
    </xf>
    <xf numFmtId="16" fontId="4" fillId="15" borderId="2" xfId="0" applyNumberFormat="1" applyFont="1" applyFill="1" applyBorder="1" applyAlignment="1">
      <alignment horizontal="left" vertical="center"/>
    </xf>
    <xf numFmtId="0" fontId="11" fillId="4" borderId="2" xfId="0" applyFont="1" applyFill="1" applyBorder="1" applyAlignment="1">
      <alignment wrapText="1"/>
    </xf>
    <xf numFmtId="0" fontId="12" fillId="4" borderId="2" xfId="0" applyFont="1" applyFill="1" applyBorder="1" applyAlignment="1">
      <alignment wrapText="1"/>
    </xf>
    <xf numFmtId="0" fontId="14" fillId="4" borderId="2" xfId="0" applyFont="1" applyFill="1" applyBorder="1" applyAlignment="1">
      <alignment wrapText="1"/>
    </xf>
    <xf numFmtId="0" fontId="9" fillId="0" borderId="2" xfId="0" applyFont="1" applyBorder="1" applyAlignment="1">
      <alignment horizontal="left" vertical="center" wrapText="1"/>
    </xf>
    <xf numFmtId="9" fontId="4" fillId="0" borderId="2" xfId="0" applyNumberFormat="1" applyFont="1" applyBorder="1" applyAlignment="1">
      <alignment horizontal="left" vertical="center"/>
    </xf>
    <xf numFmtId="0" fontId="8" fillId="0" borderId="2" xfId="0" applyFont="1" applyBorder="1" applyAlignment="1">
      <alignment horizontal="left" vertical="center"/>
    </xf>
    <xf numFmtId="0" fontId="7" fillId="0" borderId="2" xfId="0" applyFont="1" applyBorder="1"/>
    <xf numFmtId="0" fontId="7" fillId="0" borderId="2" xfId="0" applyFont="1" applyBorder="1" applyAlignment="1">
      <alignment wrapText="1"/>
    </xf>
    <xf numFmtId="0" fontId="7" fillId="8" borderId="2" xfId="0" applyFont="1" applyFill="1" applyBorder="1" applyAlignment="1">
      <alignment horizontal="left" vertical="center"/>
    </xf>
    <xf numFmtId="0" fontId="7" fillId="8" borderId="2" xfId="0" applyFont="1" applyFill="1" applyBorder="1" applyAlignment="1">
      <alignment horizontal="left" vertical="center" wrapText="1"/>
    </xf>
    <xf numFmtId="164" fontId="7" fillId="8" borderId="2" xfId="0" applyNumberFormat="1" applyFont="1" applyFill="1" applyBorder="1" applyAlignment="1">
      <alignment horizontal="left" vertical="center" wrapText="1"/>
    </xf>
    <xf numFmtId="0" fontId="4" fillId="8" borderId="2" xfId="0" applyFont="1" applyFill="1" applyBorder="1" applyAlignment="1">
      <alignment horizontal="left" vertical="center"/>
    </xf>
    <xf numFmtId="164" fontId="4" fillId="8" borderId="2" xfId="0" applyNumberFormat="1" applyFont="1" applyFill="1" applyBorder="1" applyAlignment="1">
      <alignment horizontal="left" vertical="center"/>
    </xf>
    <xf numFmtId="164" fontId="7" fillId="0" borderId="2" xfId="0" applyNumberFormat="1" applyFont="1" applyBorder="1" applyAlignment="1">
      <alignment horizontal="left" vertical="center" wrapText="1"/>
    </xf>
    <xf numFmtId="164" fontId="4" fillId="0" borderId="2" xfId="0" applyNumberFormat="1" applyFont="1" applyBorder="1" applyAlignment="1">
      <alignment horizontal="left" vertical="center"/>
    </xf>
    <xf numFmtId="0" fontId="8" fillId="8" borderId="2" xfId="0" applyFont="1" applyFill="1" applyBorder="1" applyAlignment="1">
      <alignment horizontal="left" vertical="center"/>
    </xf>
    <xf numFmtId="14" fontId="8" fillId="8" borderId="2" xfId="0" applyNumberFormat="1" applyFont="1" applyFill="1" applyBorder="1" applyAlignment="1">
      <alignment horizontal="left" vertical="center"/>
    </xf>
    <xf numFmtId="14" fontId="8" fillId="0" borderId="2" xfId="0" applyNumberFormat="1" applyFont="1" applyBorder="1" applyAlignment="1">
      <alignment horizontal="left" vertical="center"/>
    </xf>
    <xf numFmtId="0" fontId="12" fillId="4" borderId="2" xfId="0" applyFont="1" applyFill="1" applyBorder="1" applyAlignment="1">
      <alignment vertical="center" wrapText="1"/>
    </xf>
    <xf numFmtId="0" fontId="16" fillId="13" borderId="2" xfId="0" applyFont="1" applyFill="1" applyBorder="1" applyAlignment="1">
      <alignment vertical="center" wrapText="1"/>
    </xf>
    <xf numFmtId="0" fontId="0" fillId="0" borderId="2" xfId="0" applyBorder="1" applyAlignment="1">
      <alignment wrapText="1"/>
    </xf>
    <xf numFmtId="0" fontId="7" fillId="0" borderId="2" xfId="0" applyFont="1" applyBorder="1" applyAlignment="1">
      <alignment vertical="center" wrapText="1"/>
    </xf>
    <xf numFmtId="0" fontId="8" fillId="0" borderId="2" xfId="0" applyFont="1" applyBorder="1" applyAlignment="1">
      <alignment horizontal="left" vertical="center" wrapText="1"/>
    </xf>
    <xf numFmtId="0" fontId="13" fillId="0" borderId="2" xfId="0" applyFont="1" applyBorder="1" applyAlignment="1">
      <alignment horizontal="left" vertical="center" wrapText="1"/>
    </xf>
    <xf numFmtId="0" fontId="14" fillId="4"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2" xfId="0" applyFont="1" applyFill="1" applyBorder="1" applyAlignment="1">
      <alignment horizontal="left" vertical="center"/>
    </xf>
    <xf numFmtId="0" fontId="12" fillId="5" borderId="2" xfId="0" applyFont="1" applyFill="1" applyBorder="1" applyAlignment="1">
      <alignment vertical="center" wrapText="1"/>
    </xf>
    <xf numFmtId="14" fontId="7" fillId="5" borderId="2" xfId="0" applyNumberFormat="1" applyFont="1" applyFill="1" applyBorder="1" applyAlignment="1">
      <alignment horizontal="left" vertical="center" wrapText="1"/>
    </xf>
    <xf numFmtId="17" fontId="7" fillId="0" borderId="2" xfId="0" applyNumberFormat="1" applyFont="1" applyBorder="1" applyAlignment="1">
      <alignment horizontal="left" vertical="center" wrapText="1"/>
    </xf>
    <xf numFmtId="0" fontId="7" fillId="6" borderId="2" xfId="0" applyFont="1" applyFill="1" applyBorder="1" applyAlignment="1">
      <alignment horizontal="left" vertical="center" wrapText="1"/>
    </xf>
    <xf numFmtId="17" fontId="7" fillId="4" borderId="2" xfId="0" applyNumberFormat="1" applyFont="1" applyFill="1" applyBorder="1" applyAlignment="1">
      <alignment horizontal="left" vertical="center" wrapText="1"/>
    </xf>
    <xf numFmtId="0" fontId="7" fillId="4" borderId="2" xfId="0" applyFont="1" applyFill="1" applyBorder="1" applyAlignment="1">
      <alignment horizontal="left" vertical="center"/>
    </xf>
    <xf numFmtId="16" fontId="7" fillId="11" borderId="2" xfId="0" applyNumberFormat="1" applyFont="1" applyFill="1" applyBorder="1" applyAlignment="1">
      <alignment horizontal="left" vertical="center" wrapText="1"/>
    </xf>
    <xf numFmtId="0" fontId="12" fillId="0" borderId="2" xfId="0" applyFont="1" applyBorder="1" applyAlignment="1">
      <alignment horizontal="left" vertical="center" wrapText="1"/>
    </xf>
    <xf numFmtId="0" fontId="7" fillId="4" borderId="2" xfId="0" applyFont="1" applyFill="1" applyBorder="1" applyAlignment="1">
      <alignment vertical="center" wrapText="1"/>
    </xf>
    <xf numFmtId="0" fontId="9" fillId="0" borderId="2" xfId="0" applyFont="1" applyBorder="1" applyAlignment="1">
      <alignment horizontal="left" vertical="center"/>
    </xf>
    <xf numFmtId="0" fontId="4" fillId="8" borderId="2" xfId="0" applyFont="1" applyFill="1" applyBorder="1" applyAlignment="1">
      <alignment horizontal="left" vertical="center" wrapText="1"/>
    </xf>
    <xf numFmtId="164" fontId="4" fillId="0" borderId="2" xfId="0" applyNumberFormat="1" applyFont="1" applyBorder="1" applyAlignment="1">
      <alignment horizontal="left" vertical="center" wrapText="1"/>
    </xf>
    <xf numFmtId="0" fontId="7" fillId="11" borderId="2" xfId="0" applyFont="1" applyFill="1" applyBorder="1" applyAlignment="1">
      <alignment horizontal="left" vertical="center" wrapText="1"/>
    </xf>
    <xf numFmtId="164" fontId="4" fillId="8" borderId="2" xfId="0" applyNumberFormat="1" applyFont="1" applyFill="1" applyBorder="1" applyAlignment="1">
      <alignment horizontal="left" vertical="center" wrapText="1"/>
    </xf>
    <xf numFmtId="0" fontId="7" fillId="12" borderId="2" xfId="0" applyFont="1" applyFill="1" applyBorder="1" applyAlignment="1">
      <alignment horizontal="left" vertical="center" wrapText="1"/>
    </xf>
    <xf numFmtId="16" fontId="7" fillId="12" borderId="2" xfId="0" applyNumberFormat="1" applyFont="1" applyFill="1" applyBorder="1" applyAlignment="1">
      <alignment horizontal="left" vertical="center" wrapText="1"/>
    </xf>
    <xf numFmtId="0" fontId="15" fillId="12" borderId="2" xfId="0" applyFont="1" applyFill="1" applyBorder="1" applyAlignment="1">
      <alignment horizontal="left" vertical="center" wrapText="1"/>
    </xf>
    <xf numFmtId="0" fontId="15" fillId="11" borderId="2" xfId="0" applyFont="1" applyFill="1" applyBorder="1" applyAlignment="1">
      <alignment horizontal="left" vertical="center" wrapText="1"/>
    </xf>
    <xf numFmtId="0" fontId="20" fillId="16" borderId="2" xfId="0" applyFont="1" applyFill="1" applyBorder="1" applyAlignment="1">
      <alignment horizontal="left" vertical="center"/>
    </xf>
    <xf numFmtId="15" fontId="4" fillId="8" borderId="2" xfId="0" applyNumberFormat="1" applyFont="1" applyFill="1" applyBorder="1" applyAlignment="1">
      <alignment horizontal="left" vertical="center"/>
    </xf>
    <xf numFmtId="0" fontId="9" fillId="8" borderId="2" xfId="0" applyFont="1" applyFill="1" applyBorder="1" applyAlignment="1">
      <alignment horizontal="left" vertical="center"/>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wrapText="1"/>
    </xf>
    <xf numFmtId="14" fontId="4" fillId="0" borderId="2" xfId="0" applyNumberFormat="1" applyFont="1" applyBorder="1" applyAlignment="1">
      <alignment horizontal="center" vertical="center"/>
    </xf>
    <xf numFmtId="0" fontId="0" fillId="0" borderId="2" xfId="0" applyBorder="1"/>
    <xf numFmtId="0" fontId="0" fillId="0" borderId="2" xfId="0" applyBorder="1" applyAlignment="1">
      <alignment horizontal="center" vertical="center" wrapText="1"/>
    </xf>
    <xf numFmtId="0" fontId="0" fillId="0" borderId="2" xfId="0" applyBorder="1" applyAlignment="1">
      <alignment vertical="center"/>
    </xf>
    <xf numFmtId="0" fontId="0" fillId="0" borderId="2" xfId="0" applyBorder="1" applyAlignment="1">
      <alignment vertical="center" wrapText="1"/>
    </xf>
    <xf numFmtId="0" fontId="25" fillId="20" borderId="2" xfId="0" applyFont="1" applyFill="1" applyBorder="1" applyAlignment="1">
      <alignment vertical="center" wrapText="1"/>
    </xf>
    <xf numFmtId="0" fontId="17" fillId="21" borderId="2" xfId="0" applyFont="1" applyFill="1" applyBorder="1" applyAlignment="1">
      <alignment vertical="center" wrapText="1"/>
    </xf>
    <xf numFmtId="0" fontId="17" fillId="0" borderId="2" xfId="0" applyFont="1" applyBorder="1" applyAlignment="1">
      <alignment vertical="center" wrapText="1"/>
    </xf>
    <xf numFmtId="0" fontId="25" fillId="17" borderId="2" xfId="0" applyFont="1" applyFill="1" applyBorder="1" applyAlignment="1">
      <alignment vertical="center" wrapText="1"/>
    </xf>
    <xf numFmtId="0" fontId="26" fillId="22" borderId="2" xfId="0" applyFont="1" applyFill="1" applyBorder="1" applyAlignment="1">
      <alignment vertical="center" wrapText="1"/>
    </xf>
    <xf numFmtId="0" fontId="4" fillId="0" borderId="4" xfId="0" applyFont="1" applyBorder="1" applyAlignment="1">
      <alignment horizontal="center" vertical="center"/>
    </xf>
    <xf numFmtId="0" fontId="4" fillId="15" borderId="4" xfId="0" applyFont="1" applyFill="1" applyBorder="1" applyAlignment="1">
      <alignment horizontal="center" vertical="center"/>
    </xf>
    <xf numFmtId="0" fontId="0" fillId="23" borderId="2" xfId="0" applyFill="1" applyBorder="1" applyAlignment="1">
      <alignment horizontal="left" vertical="center"/>
    </xf>
    <xf numFmtId="0" fontId="5"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6" fillId="2" borderId="2" xfId="0" applyFont="1" applyFill="1" applyBorder="1" applyAlignment="1">
      <alignment horizontal="left" vertical="center" wrapText="1" readingOrder="1"/>
    </xf>
    <xf numFmtId="0" fontId="6" fillId="3" borderId="2" xfId="0" applyFont="1" applyFill="1" applyBorder="1" applyAlignment="1">
      <alignment horizontal="center" vertical="center" wrapText="1" readingOrder="1"/>
    </xf>
    <xf numFmtId="0" fontId="6" fillId="5" borderId="2" xfId="0" applyFont="1" applyFill="1" applyBorder="1" applyAlignment="1">
      <alignment horizontal="left" vertical="center" wrapText="1" readingOrder="1"/>
    </xf>
    <xf numFmtId="0" fontId="6" fillId="0" borderId="2" xfId="0" applyFont="1" applyBorder="1" applyAlignment="1">
      <alignment horizontal="left" vertical="center" wrapText="1" readingOrder="1"/>
    </xf>
    <xf numFmtId="0" fontId="24" fillId="5" borderId="2" xfId="0" applyFont="1" applyFill="1" applyBorder="1" applyAlignment="1">
      <alignment horizontal="left" vertical="center" wrapText="1" readingOrder="1"/>
    </xf>
    <xf numFmtId="0" fontId="4" fillId="0" borderId="5" xfId="0" applyFont="1" applyBorder="1" applyAlignment="1">
      <alignment horizontal="center" vertical="center"/>
    </xf>
    <xf numFmtId="0" fontId="7" fillId="0" borderId="6" xfId="0" applyFont="1" applyBorder="1" applyAlignment="1">
      <alignment horizontal="left" vertical="center"/>
    </xf>
    <xf numFmtId="0" fontId="8" fillId="0" borderId="6" xfId="0" applyFont="1" applyBorder="1" applyAlignment="1">
      <alignment horizontal="left" vertical="center"/>
    </xf>
    <xf numFmtId="0" fontId="7" fillId="0" borderId="6" xfId="0" applyFont="1" applyBorder="1" applyAlignment="1">
      <alignment horizontal="left" vertical="center" wrapText="1"/>
    </xf>
    <xf numFmtId="164" fontId="7" fillId="0" borderId="6" xfId="0" applyNumberFormat="1" applyFont="1" applyBorder="1" applyAlignment="1">
      <alignment horizontal="left" vertical="center" wrapText="1"/>
    </xf>
    <xf numFmtId="0" fontId="4" fillId="0" borderId="6" xfId="0" applyFont="1" applyBorder="1" applyAlignment="1">
      <alignment horizontal="left" vertical="center"/>
    </xf>
    <xf numFmtId="0" fontId="7" fillId="0" borderId="6" xfId="0" applyFont="1" applyBorder="1"/>
    <xf numFmtId="164" fontId="4" fillId="0" borderId="6" xfId="0" applyNumberFormat="1" applyFont="1" applyBorder="1" applyAlignment="1">
      <alignment horizontal="left" vertical="center"/>
    </xf>
    <xf numFmtId="0" fontId="27" fillId="0" borderId="2" xfId="0" applyFont="1" applyBorder="1" applyAlignment="1">
      <alignment horizontal="center" vertical="center"/>
    </xf>
    <xf numFmtId="0" fontId="25" fillId="17" borderId="2" xfId="0" applyFont="1" applyFill="1" applyBorder="1" applyAlignment="1">
      <alignment horizontal="center" vertical="center" wrapText="1"/>
    </xf>
    <xf numFmtId="0" fontId="25" fillId="20" borderId="2" xfId="0" applyFont="1" applyFill="1" applyBorder="1" applyAlignment="1">
      <alignment horizontal="center" vertical="center" wrapText="1"/>
    </xf>
    <xf numFmtId="0" fontId="25" fillId="20" borderId="1" xfId="0" applyFont="1" applyFill="1" applyBorder="1" applyAlignment="1">
      <alignment horizontal="center" vertical="center" wrapText="1"/>
    </xf>
    <xf numFmtId="0" fontId="7" fillId="0" borderId="2" xfId="0" applyFont="1" applyBorder="1" applyAlignment="1">
      <alignment vertical="center"/>
    </xf>
    <xf numFmtId="0" fontId="12" fillId="0" borderId="0" xfId="0" applyFont="1"/>
    <xf numFmtId="0" fontId="7" fillId="0" borderId="0" xfId="0" applyFont="1"/>
    <xf numFmtId="0" fontId="19" fillId="9" borderId="3" xfId="0" applyFont="1" applyFill="1" applyBorder="1" applyAlignment="1">
      <alignment vertical="center" wrapText="1"/>
    </xf>
    <xf numFmtId="0" fontId="7" fillId="4" borderId="7" xfId="0" applyFont="1" applyFill="1" applyBorder="1" applyAlignment="1">
      <alignment vertical="center" wrapText="1"/>
    </xf>
    <xf numFmtId="0" fontId="26" fillId="18" borderId="3" xfId="0" applyFont="1" applyFill="1" applyBorder="1" applyAlignment="1">
      <alignment vertical="center" wrapText="1"/>
    </xf>
    <xf numFmtId="0" fontId="25" fillId="17" borderId="3" xfId="0" applyFont="1" applyFill="1" applyBorder="1" applyAlignment="1">
      <alignment vertical="center" wrapText="1"/>
    </xf>
    <xf numFmtId="0" fontId="7" fillId="0" borderId="7" xfId="0" applyFont="1" applyBorder="1" applyAlignment="1">
      <alignment vertical="center" wrapText="1"/>
    </xf>
    <xf numFmtId="0" fontId="25" fillId="20" borderId="3" xfId="0" applyFont="1" applyFill="1" applyBorder="1" applyAlignment="1">
      <alignment vertical="center" wrapText="1"/>
    </xf>
    <xf numFmtId="0" fontId="16" fillId="13" borderId="3" xfId="0" applyFont="1" applyFill="1" applyBorder="1" applyAlignment="1">
      <alignment vertical="center" wrapText="1"/>
    </xf>
    <xf numFmtId="0" fontId="16" fillId="13" borderId="7" xfId="0" applyFont="1" applyFill="1" applyBorder="1" applyAlignment="1">
      <alignment vertical="center" wrapText="1"/>
    </xf>
    <xf numFmtId="0" fontId="16" fillId="13" borderId="9" xfId="0" applyFont="1" applyFill="1" applyBorder="1" applyAlignment="1">
      <alignment vertical="center" wrapText="1"/>
    </xf>
    <xf numFmtId="0" fontId="16" fillId="13" borderId="8" xfId="0" applyFont="1" applyFill="1" applyBorder="1" applyAlignment="1">
      <alignment vertical="center" wrapText="1"/>
    </xf>
    <xf numFmtId="0" fontId="21" fillId="18" borderId="3" xfId="0" applyFont="1" applyFill="1" applyBorder="1" applyAlignment="1">
      <alignment vertical="center" wrapText="1"/>
    </xf>
    <xf numFmtId="0" fontId="16" fillId="13" borderId="10" xfId="0" applyFont="1" applyFill="1" applyBorder="1" applyAlignment="1">
      <alignment vertical="center" wrapText="1"/>
    </xf>
    <xf numFmtId="0" fontId="16" fillId="13" borderId="11" xfId="0" applyFont="1" applyFill="1" applyBorder="1" applyAlignment="1">
      <alignment vertical="center" wrapText="1"/>
    </xf>
    <xf numFmtId="0" fontId="21" fillId="18" borderId="12" xfId="0" applyFont="1" applyFill="1" applyBorder="1" applyAlignment="1">
      <alignment vertical="center" wrapText="1"/>
    </xf>
    <xf numFmtId="0" fontId="0" fillId="23" borderId="13" xfId="0" applyFill="1" applyBorder="1" applyAlignment="1">
      <alignment horizontal="left" vertical="center"/>
    </xf>
    <xf numFmtId="0" fontId="0" fillId="23" borderId="6" xfId="0" applyFill="1" applyBorder="1" applyAlignment="1">
      <alignment horizontal="left" vertical="center"/>
    </xf>
    <xf numFmtId="0" fontId="7" fillId="4" borderId="3" xfId="0" applyFont="1" applyFill="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4" borderId="8" xfId="0" applyFont="1" applyFill="1" applyBorder="1" applyAlignment="1">
      <alignment vertical="center" wrapText="1"/>
    </xf>
    <xf numFmtId="0" fontId="7" fillId="4" borderId="9" xfId="0" applyFont="1" applyFill="1" applyBorder="1" applyAlignment="1">
      <alignment vertical="center" wrapText="1"/>
    </xf>
    <xf numFmtId="0" fontId="12" fillId="10" borderId="2" xfId="0" applyFont="1" applyFill="1" applyBorder="1" applyAlignment="1">
      <alignment vertical="center" wrapText="1"/>
    </xf>
    <xf numFmtId="0" fontId="12" fillId="0" borderId="2" xfId="0" applyFont="1" applyBorder="1" applyAlignment="1">
      <alignment vertical="center"/>
    </xf>
    <xf numFmtId="0" fontId="12" fillId="0" borderId="2" xfId="0" applyFont="1" applyBorder="1" applyAlignment="1">
      <alignment vertical="center" wrapText="1"/>
    </xf>
    <xf numFmtId="0" fontId="22" fillId="19" borderId="3" xfId="0" applyFont="1" applyFill="1" applyBorder="1" applyAlignment="1">
      <alignment vertical="center" wrapText="1"/>
    </xf>
    <xf numFmtId="0" fontId="22" fillId="19" borderId="2" xfId="0" applyFont="1" applyFill="1" applyBorder="1" applyAlignment="1">
      <alignment vertical="center" wrapText="1"/>
    </xf>
    <xf numFmtId="0" fontId="12" fillId="4" borderId="8" xfId="0" applyFont="1" applyFill="1" applyBorder="1" applyAlignment="1">
      <alignment vertical="center" wrapText="1"/>
    </xf>
    <xf numFmtId="0" fontId="12" fillId="14" borderId="8" xfId="0" applyFont="1" applyFill="1" applyBorder="1" applyAlignment="1">
      <alignment vertical="center" wrapText="1"/>
    </xf>
    <xf numFmtId="0" fontId="0" fillId="8" borderId="2" xfId="0" applyFill="1" applyBorder="1" applyAlignment="1">
      <alignment vertical="center" wrapText="1"/>
    </xf>
    <xf numFmtId="0" fontId="12" fillId="5" borderId="8" xfId="0" applyFont="1" applyFill="1" applyBorder="1" applyAlignment="1">
      <alignment vertical="center" wrapText="1"/>
    </xf>
    <xf numFmtId="0" fontId="0" fillId="3" borderId="2" xfId="0" applyFill="1" applyBorder="1" applyAlignment="1">
      <alignment vertical="center" wrapText="1"/>
    </xf>
    <xf numFmtId="0" fontId="12" fillId="4" borderId="7" xfId="0" applyFont="1" applyFill="1" applyBorder="1" applyAlignment="1">
      <alignment vertical="center" wrapText="1"/>
    </xf>
    <xf numFmtId="0" fontId="25" fillId="17" borderId="3" xfId="0" applyFont="1" applyFill="1" applyBorder="1" applyAlignment="1">
      <alignment vertical="center"/>
    </xf>
    <xf numFmtId="0" fontId="7" fillId="24" borderId="7" xfId="0" applyFont="1" applyFill="1" applyBorder="1" applyAlignment="1">
      <alignment vertical="center" wrapText="1"/>
    </xf>
    <xf numFmtId="0" fontId="7" fillId="24" borderId="8" xfId="0" applyFont="1" applyFill="1" applyBorder="1" applyAlignment="1">
      <alignment vertical="center" wrapText="1"/>
    </xf>
    <xf numFmtId="0" fontId="23" fillId="0" borderId="8" xfId="0" applyFont="1" applyBorder="1" applyAlignment="1">
      <alignment vertical="center" wrapText="1"/>
    </xf>
    <xf numFmtId="0" fontId="26" fillId="22" borderId="3" xfId="0" applyFont="1" applyFill="1" applyBorder="1" applyAlignment="1">
      <alignment vertical="center" wrapText="1"/>
    </xf>
    <xf numFmtId="0" fontId="7" fillId="0" borderId="7" xfId="0" applyFont="1" applyBorder="1" applyAlignment="1">
      <alignment vertical="center"/>
    </xf>
    <xf numFmtId="0" fontId="19" fillId="13" borderId="3" xfId="0" applyFont="1" applyFill="1" applyBorder="1" applyAlignment="1">
      <alignment vertical="center" wrapText="1"/>
    </xf>
    <xf numFmtId="0" fontId="7" fillId="0" borderId="8" xfId="0" applyFont="1" applyBorder="1" applyAlignment="1">
      <alignment vertical="center"/>
    </xf>
    <xf numFmtId="0" fontId="1" fillId="0" borderId="0" xfId="0" applyFont="1" applyAlignment="1">
      <alignment vertical="center"/>
    </xf>
  </cellXfs>
  <cellStyles count="1">
    <cellStyle name="Normal" xfId="0" builtinId="0"/>
  </cellStyles>
  <dxfs count="54">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center" vertical="center" textRotation="0" wrapText="1"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family val="2"/>
        <scheme val="none"/>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center" vertical="center" textRotation="0" wrapText="1"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Aptos"/>
        <family val="2"/>
        <scheme val="none"/>
      </font>
      <alignment horizontal="left" vertical="center"/>
    </dxf>
    <dxf>
      <font>
        <b val="0"/>
        <i val="0"/>
        <strike val="0"/>
        <condense val="0"/>
        <extend val="0"/>
        <outline val="0"/>
        <shadow val="0"/>
        <u val="none"/>
        <vertAlign val="baseline"/>
        <sz val="10"/>
        <color rgb="FF000000"/>
        <name val="Aptos"/>
        <family val="2"/>
        <scheme val="none"/>
      </font>
      <alignment horizontal="left" vertical="center" textRotation="0" wrapText="1" indent="0" justifyLastLine="0" shrinkToFit="0" readingOrder="1"/>
      <border diagonalUp="0" diagonalDown="0" outline="0">
        <left style="medium">
          <color rgb="FF000000"/>
        </left>
        <right style="medium">
          <color rgb="FF000000"/>
        </right>
        <top/>
        <bottom/>
      </bord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fill>
        <patternFill patternType="solid">
          <bgColor rgb="FFFF00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fill>
        <patternFill patternType="solid">
          <bgColor rgb="FFFF0000"/>
        </patternFill>
      </fill>
    </dxf>
    <dxf>
      <font>
        <color theme="0"/>
      </font>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Invisible" pivot="0" table="0" count="0" xr9:uid="{10BEEB1B-25CB-47D4-AF8F-5DC7816333A3}"/>
  </tableStyles>
  <colors>
    <mruColors>
      <color rgb="FF0000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owerPivotData" Target="model/item.data"/></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19.744256712962" backgroundQuery="1" createdVersion="8" refreshedVersion="8" minRefreshableVersion="3" recordCount="0" supportSubquery="1" supportAdvancedDrill="1" xr:uid="{DD260512-F718-41E3-9DEC-1EA9634B8920}">
  <cacheSource type="external" connectionId="1"/>
  <cacheFields count="3">
    <cacheField name="[Measures].[Count of S.No.]" caption="Count of S.No." numFmtId="0" hierarchy="34" level="32767"/>
    <cacheField name="[Table1].[Department].[Department]" caption="Department" numFmtId="0" hierarchy="1" level="1">
      <sharedItems containsBlank="1" count="6">
        <m/>
        <s v="ADI"/>
        <s v="Cloud Eng. &amp; Observ"/>
        <s v="Cybersecurity"/>
        <s v="DCX"/>
        <s v="EAS"/>
      </sharedItems>
    </cacheField>
    <cacheField name="[Table1].[Validation Feedback].[Validation Feedback]" caption="Validation Feedback" numFmtId="0" hierarchy="22" level="1">
      <sharedItems count="3">
        <s v="Accepted Idea"/>
        <s v="More Elaboration Needed"/>
        <s v="Not Accepted Idea"/>
      </sharedItems>
    </cacheField>
  </cacheFields>
  <cacheHierarchies count="35">
    <cacheHierarchy uniqueName="[Table1].[S.No.]" caption="S.No." attribute="1" defaultMemberUniqueName="[Table1].[S.No.].[All]" allUniqueName="[Table1].[S.No.].[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Unit]" caption="Unit" attribute="1" defaultMemberUniqueName="[Table1].[Unit].[All]" allUniqueName="[Table1].[Unit].[All]" dimensionUniqueName="[Table1]" displayFolder="" count="0" memberValueDatatype="130" unbalanced="0"/>
    <cacheHierarchy uniqueName="[Table1].[Use Case Asset ID]" caption="Use Case Asset ID" attribute="1" defaultMemberUniqueName="[Table1].[Use Case Asset ID].[All]" allUniqueName="[Table1].[Use Case Asset ID].[All]" dimensionUniqueName="[Table1]" displayFolder="" count="0" memberValueDatatype="130" unbalanced="0"/>
    <cacheHierarchy uniqueName="[Table1].[Asset Name]" caption="Asset Name" attribute="1" defaultMemberUniqueName="[Table1].[Asset Name].[All]" allUniqueName="[Table1].[Asset Name].[All]" dimensionUniqueName="[Table1]" displayFolder="" count="0" memberValueDatatype="130" unbalanced="0"/>
    <cacheHierarchy uniqueName="[Table1].[Asset description]" caption="Asset description" attribute="1" defaultMemberUniqueName="[Table1].[Asset description].[All]" allUniqueName="[Table1].[Asset description].[All]" dimensionUniqueName="[Table1]" displayFolder="" count="0" memberValueDatatype="130" unbalanced="0"/>
    <cacheHierarchy uniqueName="[Table1].[Asset Identification date]" caption="Asset Identification date" attribute="1" defaultMemberUniqueName="[Table1].[Asset Identification date].[All]" allUniqueName="[Table1].[Asset Identification date].[All]" dimensionUniqueName="[Table1]" displayFolder="" count="0" memberValueDatatype="130" unbalanced="0"/>
    <cacheHierarchy uniqueName="[Table1].[SDLC Phase]" caption="SDLC Phase" attribute="1" defaultMemberUniqueName="[Table1].[SDLC Phase].[All]" allUniqueName="[Table1].[SDLC Phase].[All]" dimensionUniqueName="[Table1]" displayFolder="" count="0" memberValueDatatype="130" unbalanced="0"/>
    <cacheHierarchy uniqueName="[Table1].[Asset Category]" caption="Asset Category" attribute="1" defaultMemberUniqueName="[Table1].[Asset Category].[All]" allUniqueName="[Table1].[Asset Category].[All]" dimensionUniqueName="[Table1]" displayFolder="" count="0" memberValueDatatype="130" unbalanced="0"/>
    <cacheHierarchy uniqueName="[Table1].[Asset Subcategory]" caption="Asset Subcategory" attribute="1" defaultMemberUniqueName="[Table1].[Asset Subcategory].[All]" allUniqueName="[Table1].[Asset Subcategory].[All]" dimensionUniqueName="[Table1]" displayFolder="" count="0" memberValueDatatype="130" unbalanced="0"/>
    <cacheHierarchy uniqueName="[Table1].[Efforts with out AI]" caption="Efforts with out AI" attribute="1" defaultMemberUniqueName="[Table1].[Efforts with out AI].[All]" allUniqueName="[Table1].[Efforts with out AI].[All]" dimensionUniqueName="[Table1]" displayFolder="" count="0" memberValueDatatype="130" unbalanced="0"/>
    <cacheHierarchy uniqueName="[Table1].[Efforts with AI]" caption="Efforts with AI" attribute="1" defaultMemberUniqueName="[Table1].[Efforts with AI].[All]" allUniqueName="[Table1].[Efforts with AI].[All]" dimensionUniqueName="[Table1]" displayFolder="" count="0" memberValueDatatype="130" unbalanced="0"/>
    <cacheHierarchy uniqueName="[Table1].[Business Benefits / Impact]" caption="Business Benefits / Impact" attribute="1" defaultMemberUniqueName="[Table1].[Business Benefits / Impact].[All]" allUniqueName="[Table1].[Business Benefits / Impact].[All]" dimensionUniqueName="[Table1]" displayFolder="" count="0" memberValueDatatype="130" unbalanced="0"/>
    <cacheHierarchy uniqueName="[Table1].[No. of Adoptions]" caption="No. of Adoptions" attribute="1" defaultMemberUniqueName="[Table1].[No. of Adoptions].[All]" allUniqueName="[Table1].[No. of Adoptions].[All]" dimensionUniqueName="[Table1]" displayFolder="" count="0" memberValueDatatype="130" unbalanced="0"/>
    <cacheHierarchy uniqueName="[Table1].[Implementation Guidelines]" caption="Implementation Guidelines" attribute="1" defaultMemberUniqueName="[Table1].[Implementation Guidelines].[All]" allUniqueName="[Table1].[Implementation Guidelines].[All]" dimensionUniqueName="[Table1]" displayFolder="" count="0" memberValueDatatype="130" unbalanced="0"/>
    <cacheHierarchy uniqueName="[Table1].[Strategic Takeaways]" caption="Strategic Takeaways" attribute="1" defaultMemberUniqueName="[Table1].[Strategic Takeaways].[All]" allUniqueName="[Table1].[Strategic Takeaways].[All]" dimensionUniqueName="[Table1]" displayFolder="" count="0" memberValueDatatype="130" unbalanced="0"/>
    <cacheHierarchy uniqueName="[Table1].[Owners / SPOC]" caption="Owners / SPOC" attribute="1" defaultMemberUniqueName="[Table1].[Owners / SPOC].[All]" allUniqueName="[Table1].[Owners / SPOC].[All]" dimensionUniqueName="[Table1]" displayFolder="" count="0" memberValueDatatype="130" unbalanced="0"/>
    <cacheHierarchy uniqueName="[Table1].[Remarks / Additonal Comments / Support needed / Dependancy]" caption="Remarks / Additonal Comments / Support needed / Dependancy" attribute="1" defaultMemberUniqueName="[Table1].[Remarks / Additonal Comments / Support needed / Dependancy].[All]" allUniqueName="[Table1].[Remarks / Additonal Comments / Support needed / Dependancy].[All]" dimensionUniqueName="[Table1]" displayFolder="" count="0" memberValueDatatype="130" unbalanced="0"/>
    <cacheHierarchy uniqueName="[Table1].[Selected Use Case]" caption="Selected Use Case" attribute="1" defaultMemberUniqueName="[Table1].[Selected Use Case].[All]" allUniqueName="[Table1].[Selected Use Case].[All]" dimensionUniqueName="[Table1]" displayFolder="" count="0" memberValueDatatype="130" unbalanced="0"/>
    <cacheHierarchy uniqueName="[Table1].[Current Status]" caption="Current Status" attribute="1" defaultMemberUniqueName="[Table1].[Current Status].[All]" allUniqueName="[Table1].[Current Status].[All]" dimensionUniqueName="[Table1]" displayFolder="" count="0" memberValueDatatype="130" unbalanced="0"/>
    <cacheHierarchy uniqueName="[Table1].[Tools / Platform Used]" caption="Tools / Platform Used" attribute="1" defaultMemberUniqueName="[Table1].[Tools / Platform Used].[All]" allUniqueName="[Table1].[Tools / Platform Used].[All]" dimensionUniqueName="[Table1]" displayFolder="" count="0" memberValueDatatype="130" unbalanced="0"/>
    <cacheHierarchy uniqueName="[Table1].[Department SPOC]" caption="Department SPOC" attribute="1" defaultMemberUniqueName="[Table1].[Department SPOC].[All]" allUniqueName="[Table1].[Department SPOC].[All]" dimensionUniqueName="[Table1]" displayFolder="" count="0" memberValueDatatype="130" unbalanced="0"/>
    <cacheHierarchy uniqueName="[Table1].[Validation Feedback]" caption="Validation Feedback" attribute="1" defaultMemberUniqueName="[Table1].[Validation Feedback].[All]" allUniqueName="[Table1].[Validation Feedback].[All]" dimensionUniqueName="[Table1]" displayFolder="" count="2" memberValueDatatype="130" unbalanced="0">
      <fieldsUsage count="2">
        <fieldUsage x="-1"/>
        <fieldUsage x="2"/>
      </fieldsUsage>
    </cacheHierarchy>
    <cacheHierarchy uniqueName="[Table1].[Validation Detail]" caption="Validation Detail" attribute="1" defaultMemberUniqueName="[Table1].[Validation Detail].[All]" allUniqueName="[Table1].[Validation Detail].[All]" dimensionUniqueName="[Table1]" displayFolder="" count="0" memberValueDatatype="130" unbalanced="0"/>
    <cacheHierarchy uniqueName="[Table1].[Validation Notes]" caption="Validation Notes" attribute="1" defaultMemberUniqueName="[Table1].[Validation Notes].[All]" allUniqueName="[Table1].[Validation Notes].[All]" dimensionUniqueName="[Table1]" displayFolder="" count="0" memberValueDatatype="130" unbalanced="0"/>
    <cacheHierarchy uniqueName="[Table1].[Reality / Doability]" caption="Reality / Doability" attribute="1" defaultMemberUniqueName="[Table1].[Reality / Doability].[All]" allUniqueName="[Table1].[Reality / Doability].[All]" dimensionUniqueName="[Table1]" displayFolder="" count="0" memberValueDatatype="130" unbalanced="0"/>
    <cacheHierarchy uniqueName="[Table1].[Suggestion for How to apply]" caption="Suggestion for How to apply" attribute="1" defaultMemberUniqueName="[Table1].[Suggestion for How to apply].[All]" allUniqueName="[Table1].[Suggestion for How to apply].[All]" dimensionUniqueName="[Table1]" displayFolder="" count="0" memberValueDatatype="130" unbalanced="0"/>
    <cacheHierarchy uniqueName="[Table1].[No. of Hours Saved with each Implementation *]" caption="No. of Hours Saved with each Implementation *" attribute="1" defaultMemberUniqueName="[Table1].[No. of Hours Saved with each Implementation *].[All]" allUniqueName="[Table1].[No. of Hours Saved with each Implementation *].[All]" dimensionUniqueName="[Table1]" displayFolder="" count="0" memberValueDatatype="130" unbalanced="0"/>
    <cacheHierarchy uniqueName="[Table1].[No. of Planned Implementaiton]" caption="No. of Planned Implementaiton" attribute="1" defaultMemberUniqueName="[Table1].[No. of Planned Implementaiton].[All]" allUniqueName="[Table1].[No. of Planned Implementaiton].[All]" dimensionUniqueName="[Table1]" displayFolder="" count="0" memberValueDatatype="130" unbalanced="0"/>
    <cacheHierarchy uniqueName="[Table1].[Timelines for Planned Implementaiton *]" caption="Timelines for Planned Implementaiton *" attribute="1" defaultMemberUniqueName="[Table1].[Timelines for Planned Implementaiton *].[All]" allUniqueName="[Table1].[Timelines for Planned Implementaiton *].[All]" dimensionUniqueName="[Table1]" displayFolder="" count="0" memberValueDatatype="130" unbalanced="0"/>
    <cacheHierarchy uniqueName="[Table1].[No. of Projects who will use]" caption="No. of Projects who will use" attribute="1" defaultMemberUniqueName="[Table1].[No. of Projects who will use].[All]" allUniqueName="[Table1].[No. of Projects who will us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No.]" caption="Sum of S.No." measure="1" displayFolder="" measureGroup="Table1"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9.744373032408" createdVersion="8" refreshedVersion="8" minRefreshableVersion="3" recordCount="109" xr:uid="{20505D80-2413-4AA5-9505-658AE4F9A3A1}">
  <cacheSource type="worksheet">
    <worksheetSource name="Table1"/>
  </cacheSource>
  <cacheFields count="31">
    <cacheField name="S.No." numFmtId="0">
      <sharedItems containsSemiMixedTypes="0" containsString="0" containsNumber="1" containsInteger="1" minValue="1" maxValue="109"/>
    </cacheField>
    <cacheField name="Department" numFmtId="0">
      <sharedItems containsBlank="1"/>
    </cacheField>
    <cacheField name="Unit" numFmtId="0">
      <sharedItems containsBlank="1"/>
    </cacheField>
    <cacheField name="Use Case Asset ID" numFmtId="0">
      <sharedItems containsBlank="1"/>
    </cacheField>
    <cacheField name="Asset Name" numFmtId="0">
      <sharedItems/>
    </cacheField>
    <cacheField name="Asset description" numFmtId="0">
      <sharedItems longText="1"/>
    </cacheField>
    <cacheField name="Asset Identification date" numFmtId="0">
      <sharedItems containsDate="1" containsBlank="1" containsMixedTypes="1" minDate="1900-01-04T18:51:04" maxDate="2026-02-27T00:00:00"/>
    </cacheField>
    <cacheField name="SDLC Phase" numFmtId="0">
      <sharedItems containsBlank="1"/>
    </cacheField>
    <cacheField name="Asset Category" numFmtId="0">
      <sharedItems/>
    </cacheField>
    <cacheField name="Asset Subcategory" numFmtId="0">
      <sharedItems containsBlank="1"/>
    </cacheField>
    <cacheField name="Efforts with out AI " numFmtId="0">
      <sharedItems containsBlank="1" containsMixedTypes="1" containsNumber="1" containsInteger="1" minValue="2" maxValue="12"/>
    </cacheField>
    <cacheField name="Efforts with AI" numFmtId="0">
      <sharedItems containsBlank="1" containsMixedTypes="1" containsNumber="1" minValue="0.5" maxValue="16"/>
    </cacheField>
    <cacheField name="Business Benefits / Impact" numFmtId="0">
      <sharedItems containsBlank="1" longText="1"/>
    </cacheField>
    <cacheField name="No. of Adoptions" numFmtId="0">
      <sharedItems containsBlank="1" containsMixedTypes="1" containsNumber="1" containsInteger="1" minValue="0" maxValue="10"/>
    </cacheField>
    <cacheField name="Implementation Guidelines" numFmtId="0">
      <sharedItems containsBlank="1" longText="1"/>
    </cacheField>
    <cacheField name="Strategic Takeaways" numFmtId="0">
      <sharedItems containsBlank="1" longText="1"/>
    </cacheField>
    <cacheField name="Owners / SPOC" numFmtId="0">
      <sharedItems containsBlank="1"/>
    </cacheField>
    <cacheField name="Remarks / Additonal Comments / Support needed / Dependancy" numFmtId="0">
      <sharedItems containsBlank="1" longText="1"/>
    </cacheField>
    <cacheField name="Selected Use Case" numFmtId="0">
      <sharedItems containsBlank="1" longText="1"/>
    </cacheField>
    <cacheField name="Current Status" numFmtId="0">
      <sharedItems containsBlank="1"/>
    </cacheField>
    <cacheField name="Tools / Platform Used" numFmtId="0">
      <sharedItems containsBlank="1" longText="1"/>
    </cacheField>
    <cacheField name="Department SPOC" numFmtId="0">
      <sharedItems containsBlank="1"/>
    </cacheField>
    <cacheField name="Validation Feedback" numFmtId="0">
      <sharedItems containsBlank="1" count="8">
        <s v="Accepted Idea"/>
        <s v="More Elaboration Needed"/>
        <s v="Not Accepted Idea"/>
        <s v="Not Accepted Idea " u="1"/>
        <s v="Blank" u="1"/>
        <m u="1"/>
        <s v="Recognized as innovative and high-impact use case" u="1"/>
        <s v="Recognized as innovative and high-value for migration activities" u="1"/>
      </sharedItems>
    </cacheField>
    <cacheField name="Validation Detail" numFmtId="0">
      <sharedItems containsBlank="1" count="21">
        <s v="Accepted – Ready for Pilot"/>
        <s v="Accepted – Ready for Scale"/>
        <s v="Accepted – Ready for Implementation"/>
        <s v="Need More Elaboration – Reframe as AI-Assisted Pipeline Engineering"/>
        <s v="Not Accepted – Better as Automation / Guardrailed Ops"/>
        <s v="Need More Elaboration – Reframe as AI-Assisted Rule Analysis and Optimization"/>
        <s v="Not Accepted – Better as Automation / Rules"/>
        <s v="Accepted – Proven with Adoption Evidence"/>
        <s v="Not Accepted – No Clear Business Value"/>
        <s v="Not Accepted – Too Vague"/>
        <s v="Need More Elaboration – Missing Owner / SPOC"/>
        <s v="Need More Elaboration – Missing KPI / ROI"/>
        <s v="Need More Elaboration – Status / Adoption Mismatch"/>
        <s v="Need More Elaboration – Missing Data Source"/>
        <s v="Need More Elaboration – Missing Implementation Steps"/>
        <s v="Need More Elaboration – Missing Business Impact" u="1"/>
        <s v="Need More Elaboration – Dependencies Not Defined" u="1"/>
        <s v="Not Accepted – Ambiguous " u="1"/>
        <m u="1"/>
        <s v="Need More Elaboration – Tools / Platform Unclear" u="1"/>
        <s v="Evaluated by Team Lead confirming strong potential in reducing migration effort and errors" u="1"/>
      </sharedItems>
    </cacheField>
    <cacheField name="Validation Notes" numFmtId="0">
      <sharedItems longText="1"/>
    </cacheField>
    <cacheField name="Reality / Doability" numFmtId="0">
      <sharedItems longText="1"/>
    </cacheField>
    <cacheField name="Suggestion for How to apply" numFmtId="0">
      <sharedItems longText="1"/>
    </cacheField>
    <cacheField name="No. of Hours Saved with each Implementation *" numFmtId="0">
      <sharedItems containsBlank="1" containsMixedTypes="1" containsNumber="1" minValue="0.4" maxValue="16"/>
    </cacheField>
    <cacheField name="No. of Planned Implementaiton" numFmtId="0">
      <sharedItems containsBlank="1" containsMixedTypes="1" containsNumber="1" containsInteger="1" minValue="1" maxValue="1"/>
    </cacheField>
    <cacheField name="Timelines for Planned Implementaiton *" numFmtId="0">
      <sharedItems containsDate="1" containsBlank="1" containsMixedTypes="1" minDate="2026-04-15T00:00:00" maxDate="2026-04-16T00:00:00"/>
    </cacheField>
    <cacheField name="No. of Projects who will use " numFmtId="0">
      <sharedItems containsBlank="1" containsMixedTypes="1"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9.782682523146" createdVersion="8" refreshedVersion="8" minRefreshableVersion="3" recordCount="109" xr:uid="{8ECEC039-C3AC-4F70-A9CD-5890799105CB}">
  <cacheSource type="worksheet">
    <worksheetSource ref="A1:AH110" sheet="Use Case Template"/>
  </cacheSource>
  <cacheFields count="34">
    <cacheField name="S.No." numFmtId="0">
      <sharedItems containsSemiMixedTypes="0" containsString="0" containsNumber="1" containsInteger="1" minValue="1" maxValue="109"/>
    </cacheField>
    <cacheField name="Department" numFmtId="0">
      <sharedItems containsBlank="1" count="6">
        <s v="ADI"/>
        <s v="Cloud Eng. &amp; Observ"/>
        <s v="Cybersecurity"/>
        <s v="DCX"/>
        <s v="EAS"/>
        <m/>
      </sharedItems>
    </cacheField>
    <cacheField name="Unit" numFmtId="0">
      <sharedItems containsBlank="1"/>
    </cacheField>
    <cacheField name="Use Case Asset ID" numFmtId="0">
      <sharedItems containsBlank="1"/>
    </cacheField>
    <cacheField name="Asset Name" numFmtId="0">
      <sharedItems/>
    </cacheField>
    <cacheField name="Asset description" numFmtId="0">
      <sharedItems longText="1"/>
    </cacheField>
    <cacheField name="Asset Identification date" numFmtId="0">
      <sharedItems containsDate="1" containsBlank="1" containsMixedTypes="1" minDate="1900-01-04T18:51:04" maxDate="2026-02-27T00:00:00"/>
    </cacheField>
    <cacheField name="SDLC Phase" numFmtId="0">
      <sharedItems containsBlank="1"/>
    </cacheField>
    <cacheField name="Asset Category" numFmtId="0">
      <sharedItems/>
    </cacheField>
    <cacheField name="Asset Subcategory" numFmtId="0">
      <sharedItems containsBlank="1"/>
    </cacheField>
    <cacheField name="Efforts with out AI " numFmtId="0">
      <sharedItems containsBlank="1" containsMixedTypes="1" containsNumber="1" containsInteger="1" minValue="2" maxValue="12"/>
    </cacheField>
    <cacheField name="Efforts with AI" numFmtId="0">
      <sharedItems containsBlank="1" containsMixedTypes="1" containsNumber="1" minValue="0.5" maxValue="16"/>
    </cacheField>
    <cacheField name="Business Benefits / Impact" numFmtId="0">
      <sharedItems containsBlank="1" longText="1"/>
    </cacheField>
    <cacheField name="No. of Adoptions" numFmtId="0">
      <sharedItems containsBlank="1" containsMixedTypes="1" containsNumber="1" containsInteger="1" minValue="0" maxValue="10"/>
    </cacheField>
    <cacheField name="Implementation Guidelines" numFmtId="0">
      <sharedItems containsBlank="1" longText="1"/>
    </cacheField>
    <cacheField name="Strategic Takeaways" numFmtId="0">
      <sharedItems containsBlank="1" longText="1"/>
    </cacheField>
    <cacheField name="Owners / SPOC" numFmtId="0">
      <sharedItems containsBlank="1"/>
    </cacheField>
    <cacheField name="Remarks / Additonal Comments / Support needed / Dependancy" numFmtId="0">
      <sharedItems containsBlank="1" longText="1"/>
    </cacheField>
    <cacheField name="Selected Use Case" numFmtId="0">
      <sharedItems containsBlank="1" longText="1"/>
    </cacheField>
    <cacheField name="Current Status" numFmtId="0">
      <sharedItems containsBlank="1"/>
    </cacheField>
    <cacheField name="Tools / Platform Used" numFmtId="0">
      <sharedItems containsBlank="1" longText="1"/>
    </cacheField>
    <cacheField name="Department SPOC" numFmtId="0">
      <sharedItems containsBlank="1"/>
    </cacheField>
    <cacheField name="Validation Feedback" numFmtId="0">
      <sharedItems count="5">
        <s v="Accepted Idea"/>
        <s v="More Elaboration Needed"/>
        <s v="Not Accepted Idea"/>
        <s v="Not Accepted Idea " u="1"/>
        <s v="Blank" u="1"/>
      </sharedItems>
    </cacheField>
    <cacheField name="Validation Detail" numFmtId="0">
      <sharedItems/>
    </cacheField>
    <cacheField name="Validation Notes" numFmtId="0">
      <sharedItems longText="1"/>
    </cacheField>
    <cacheField name="Reality / Doability" numFmtId="0">
      <sharedItems longText="1"/>
    </cacheField>
    <cacheField name="Suggestion for How to apply" numFmtId="0">
      <sharedItems longText="1"/>
    </cacheField>
    <cacheField name="No. of Hours Saved with each Implementation *" numFmtId="0">
      <sharedItems containsBlank="1" containsMixedTypes="1" containsNumber="1" minValue="0.4" maxValue="16"/>
    </cacheField>
    <cacheField name="No. of Planned Implementaiton" numFmtId="0">
      <sharedItems containsBlank="1" containsMixedTypes="1" containsNumber="1" containsInteger="1" minValue="1" maxValue="1"/>
    </cacheField>
    <cacheField name="Timelines for Planned Implementaiton *" numFmtId="0">
      <sharedItems containsDate="1" containsBlank="1" containsMixedTypes="1" minDate="2026-04-15T00:00:00" maxDate="2026-04-16T00:00:00"/>
    </cacheField>
    <cacheField name="No. of Projects who will use " numFmtId="0">
      <sharedItems containsBlank="1" containsMixedTypes="1" containsNumber="1" containsInteger="1" minValue="1" maxValue="3"/>
    </cacheField>
    <cacheField name="old Validation Feedback" numFmtId="0">
      <sharedItems count="4">
        <s v="Accepted Idea"/>
        <s v="Not Accepted Idea "/>
        <s v="More Elaboration Needed"/>
        <s v="Blank"/>
      </sharedItems>
    </cacheField>
    <cacheField name="Why this case updated" numFmtId="0">
      <sharedItems longText="1"/>
    </cacheField>
    <cacheField name="Status" numFmtId="0">
      <sharedItems containsBlank="1" count="3">
        <s v="Done"/>
        <s v="in progress"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n v="1"/>
    <s v="ADI"/>
    <m/>
    <s v="ADI-AI-0035"/>
    <s v="Revamp PrimeFaces to SpringBoot&amp;Angular"/>
    <s v="I have a use case to revamp some PrimeFaces application by migrating it to a Spring Boot backend with an Angular frontend, along with upgrading the platform from Java 8 to Java 21._x000a__x000a_The objective is to modernize the architecture, improve performance, security, and maintainability, and align the application with current standards and long-term support technologies._x000a__x000a_Please let me know if we can proceed with the technical assessment and next steps."/>
    <s v="1/27/2026"/>
    <s v="Development"/>
    <s v="Backend-Frontend"/>
    <s v="Code Revamp"/>
    <m/>
    <m/>
    <s v="1. Complex task that takes months to finish which need support_x000a_2. Faster delivery_x000a_3. Open opportunities to gain new projects from customers (Border Guard - GDP - SFES - SFPS) to migrate old JSF projects to SpringBoot"/>
    <s v="Not often happens but takes long time and a lot of efforts"/>
    <s v="1. Assessment_x000a_•_x0009_Inventory applications and modules_x000a_•_x0009_Analyze business logic, UI complexity, integrations_x000a_•_x0009_Check Java 8 → 21 compatibility_x000a_•_x0009_Estimate effort and define roadmap_x000a__x000a_2. Architecture_x000a_•_x0009_Backend: Spring Boot (REST, layered architecture)_x000a_•_x0009_Frontend: Angular (components, reactive forms)_x000a_•_x0009_Define API contracts (OpenAPI)_x000a_•_x0009_Set up security (Spring Security)_x000a__x000a_3. Setup_x000a_•_x0009_Configure Java 21, Angular environment_x000a_•_x0009_Initialize Spring Boot &amp; Angular projects_x000a_•_x0009_Set up CI/CD (optional)_x000a__x000a_4. Migration (Incremental)_x000a_•_x0009_Keep existing JSF running_x000a_•_x0009_Migrate modules one by one (start small)_x000a_•_x0009_Build new APIs + Angular UI_x000a_•_x0009_Gradually switch users_x000a__x000a_5. Refactoring_x000a_•_x0009_Move logic from JSF beans → Spring services_x000a_•_x0009_Replace legacy patterns (EJB, JSF scopes)_x000a_•_x0009_Implement validation &amp; error handling_x000a__x000a_6. Frontend_x000a_•_x0009_Rebuild UI in Angular (no direct migration)_x000a_•_x0009_Implement forms, validation, API integration_x000a__x000a_7. Java Upgrade_x000a_•_x0009_Upgrade to Java 21_x000a_•_x0009_Fix deprecated APIs &amp; update dependencies_x000a__x000a_8. Testing &amp; Deployment_x000a_•_x0009_Unit &amp; integration testing_x000a_•_x0009_Roll out per module and monitor _x000a_"/>
    <m/>
    <s v="Amr Ali Eshra - Ahmed Sherif"/>
    <s v="Dependencies:_x000a_- Access to the existing PrimeFaces application source code_x000a_- Availability of system documentation or functional specifications_x000a_Support Needed:_x000a_- Development environment configured for Java 21, Spring Boot, and Angular_x000a_- Access to the selected AI tools under evaluation_x000a_- Architecture review to define the target architecture and migration strategy_x000a_Additional Remarks/Comments:_x000a_AI tools can significantly accelerate:_x000a_- Legacy code understanding_x000a_- Component migration"/>
    <s v="Yes"/>
    <s v="Planned"/>
    <s v="Dev Stack:_x000a_Java, Spring boot, JSF, REST API, and angular_x000a_AI Tools:_x000a_Github Copilot and Git repos"/>
    <s v="Ahmed Fadl"/>
    <x v="0"/>
    <x v="0"/>
    <s v="Solid modernization case (PrimeFaces → Spring Boot/Angular, Java 8 → 21). AI can materially accelerate: codebase analysis, dependency mapping, migration inventory, test generation, and code-quality gates. No owner, effort baseline, or toolchain documented."/>
    <s v="High feasibility if scoped to AI-assisted migration phases rather than blind full conversion. Risk: hallucination of Java patterns if context prompts are weak. Mitigation: enforce mandatory code-review gate and automated test pass threshold before any AI-generated code is merged."/>
    <s v="1) Run static analysis on PrimeFaces codebase to produce migration inventory. 2) Define system context prompt with coding standards, Angular patterns, and Java 21 best practices. 3) Use AI to generate module-by-module migration stubs. 4) Mandatory PR review + SAST scan per module. 5) AI-generated unit/integration tests run in CI. 6) Track effort reduction vs baseline per sprint."/>
    <s v="implementation without AI expected to reach max 7 or 8 or average 5 months per project"/>
    <m/>
    <s v="Needed to offer current products to new customers with modern technologies"/>
    <m/>
  </r>
  <r>
    <n v="2"/>
    <s v="ADI"/>
    <m/>
    <s v="ADI-AI-0036"/>
    <s v="Understand existing HLD and other LLDs "/>
    <s v="be able to generate the new design suggestion with the same pattern. Also make sure that all arch. diagrams are generated accordingly"/>
    <s v="1/28/2026"/>
    <s v="Design"/>
    <s v="Design"/>
    <s v="Context understanding and generation - Non code"/>
    <m/>
    <m/>
    <s v="1. Faster Architecture Design Preparation_x000a_2. Consistency Across Design Documents_x000a_3. Better Documentation Quality"/>
    <m/>
    <s v="1) Analyze existing aggregate settlement design (cutoff/manual) and identify key components, flows, and integration points._x000a__x000a_2) Define target instant settlement model by shifting to event-driven processing triggered per POS transaction._x000a__x000a_3) Introduce reliable event ingestion layer (e.g., MQ) to handle transaction flow from Mepp and ensure resiliency._x000a__x000a_4) Implement real-time merchant eligibility checks within UMP based on configured rules._x000a__x000a_5) Orchestrate settlement flow through ESB to Cortex and Wallet Core for execution of instant fund transfer._x000a__x000a_6) Ensure idempotency and duplicate handling using standard transaction identifiers (e.g., rrn, stan, TID)._x000a__x000a_7) Maintain compatibility with existing EOD reconciliation logic in WMS._x000a__x000a_8) Validate system capacity and performance to handle high transaction volumes._x000a__x000a_9) Implement monitoring, logging, and failure handling for end-to-end settlement flow._x000a__x000a_10) Leverage AI tools to analyze existing HLD/LLD, extract patterns, and generate updated design diagrams, with mandatory architect review."/>
    <m/>
    <s v="Amr Morad"/>
    <s v="Dependencies:_x000a_- Access to existing HLD and LLD documentation_x000a_- Availability of architecture standards and documentation templates used_x000a_- Access to system integration documentation_x000a_where applicable_x000a__x000a_Support Needed:_x000a_- Access to AI tools_x000a_- Access to design document repositories_x000a_- Alignment with architecture governance to validate generated designs_x000a__x000a_Additional Remarks/Comments:_x000a_AI tools will be evaluated based on their ability to:_x000a_- Understand architectural documentation_x000a_- Extract system components and integration flows_x000a_- Generate structured design documents including architecture diagrams automatically"/>
    <s v="Implement instant settlement for POS merchant accounts configured at one of the fintechs with reference to previously designed and implemented aggregate settlement based on cutoff date/merchant manual action"/>
    <s v="Planned"/>
    <s v="Stack:_x000a_- HLD/LLD design documents, could be Mermaid or PlantUML_x000a_- Code access_x000a__x000a_AI Tools:_x000a_Github Copilot and Git repos"/>
    <s v="Ahmed Fadl"/>
    <x v="0"/>
    <x v="0"/>
    <s v="Useful design-copilot case — ingest HLD/LLD, extract patterns, generate to-be options and diagrams. Feasible if source artifacts are available and architect review is mandatory. Risk: hallucinated architecture if context is underspecified. Missing: named owner, effort baseline, tool, selected status."/>
    <s v="Moderate-to-high feasibility when bounded to pattern extraction + draft generation only — never autonomous design decisions. Mandatory architect review gate before any generated artifact is baselined."/>
    <s v="1) Ingest existing HLD/LLD docs and extract structural patterns. 2) Define architecture persona prompt aligned to org standards. 3) Generate 3 draft to-be design variants. 4) Auto-generate architecture diagrams (C4/PlantUML). 5) Architect review and approval before baselining. 6) Log accepted vs rejected suggestions to improve prompt quality."/>
    <s v="I assume should not less than 20%"/>
    <m/>
    <s v="End of May"/>
    <m/>
  </r>
  <r>
    <n v="3"/>
    <s v="ADI"/>
    <m/>
    <s v="ADI-AI-0039"/>
    <s v="Microservice Java Development using Spring Boot"/>
    <s v="Develop Java microservice APIs using Spring Boot, leveraging AI, within the Alphas project (Fraud Detection Solution) context"/>
    <n v="46054"/>
    <s v="Development"/>
    <s v="Backend"/>
    <s v="Code Generation"/>
    <m/>
    <m/>
    <s v="1. Faster delivery_x000a_2. Improve developer productivity_x000a_3. Standardized microservices architecture"/>
    <m/>
    <s v="Develop the foundational and system context (frameworks, patterns, personas, etc.), along with the project-specific context and detailed user prompts containing Low-Level Design"/>
    <s v="Faster delivery with consistent qualities"/>
    <s v="Waleed Tayea"/>
    <s v="Dependencies:_x000a_- Availability of finalized API specifications_x000a_Support needed:_x000a_- Access to the selected AI tools under evaluation._x000a_- Access to development environment and code repositories._x000a_Additional remarks and comments:_x000a_This use case could be used for evaluating AI agents in backend development scenarios including: code generation, test generation, API documentation, code refactoring, and debugging assistance"/>
    <m/>
    <s v="In-Progress"/>
    <s v="Dev Stack:_x000a_Java Spring boot, REST API_x000a_AI Tools:_x000a_Github Copilot and Git repos"/>
    <s v="Ahmed Fadl"/>
    <x v="0"/>
    <x v="1"/>
    <s v="Strong engineering case; add named owner, selected use case, and tool."/>
    <s v="Strong engineering. Very doable if bounded to scaffolding, patterns, tests, API contracts, code review, and documentation. Must not bypass engineering standards."/>
    <s v="Prepare system context, coding standards, API conventions, LLD prompts, reference implementation, AI-assisted code generation, PR review, security scan, automated test gates"/>
    <s v="10-15%"/>
    <m/>
    <d v="2026-04-15T00:00:00"/>
    <m/>
  </r>
  <r>
    <n v="4"/>
    <s v="ADI"/>
    <m/>
    <s v="ADI-BA-01"/>
    <s v="Stakeholder Interview Synthesis"/>
    <s v="AI-powered analysis and synthesis of stakeholder interview notes into structured requirements"/>
    <n v="46023"/>
    <s v="Analysis"/>
    <s v="Requirements Elicitation"/>
    <s v="Stakeholder Analysis"/>
    <m/>
    <m/>
    <s v="1. Faster requirements consolidation_x000a_2. Improved requirements quality and traceability_x000a_3. Better alignment across stakeholders"/>
    <m/>
    <s v="Upload interview transcripts/notes; AI extracts requirements; BA validates and prioritizes"/>
    <s v="Ensures no stakeholder input is missed"/>
    <s v="Mostafa Alqazaz"/>
    <s v="Dependencies:_x000a_- Availability of interview notes, workshop notes, transcripts, or meeting minutes_x000a_- Access to requirement templates or documentation patterns used by Ejada_x000a__x000a_Support Needed:_x000a_- Access to AI tools capable of summarization and requirement extraction_x000a_- Clear target format for outputs such as BRD, user stories, epics_x000a_- Review support from BA / architect / business owner_x000a__x000a_Additional Remarks/Comments:_x000a_This use case is very suitable for evaluating AI in:_x000a_- summarization_x000a_- requirement extraction_x000a_- categorization_x000a_- conflict identification_x000a_- drafting of structured business artifacts"/>
    <s v="Yes"/>
    <m/>
    <s v="Input Sources_x000a_- Interview notes_x000a_- Workshop minutes_x000a_- Meeting summaries_x000a__x000a_Target Artifacts_x000a_- BRD sections_x000a_- Requirement lists_x000a_- User stories_x000a__x000a_AI Tools_x000a_Github Copilot and Git repos"/>
    <s v="Ahmed Fadl"/>
    <x v="0"/>
    <x v="1"/>
    <s v="Good BA use case; add KPI, owner, tools, and adoption path."/>
    <s v="Very practical and reliable BA use case. High feasibility if transcripts/notes are available and confidentiality is controlled."/>
    <s v="Upload transcripts/notes, generate requirements themes, decisions, conflicts, assumptions, open questions, then BA review and prioritization workshop"/>
    <m/>
    <m/>
    <m/>
    <m/>
  </r>
  <r>
    <n v="5"/>
    <s v="ADI"/>
    <m/>
    <s v="ADI-BA-05"/>
    <s v="Business Rules Documentation"/>
    <s v="AI-assisted extraction and documentation of business rules from requirements and policies"/>
    <n v="46023"/>
    <s v="Analysis"/>
    <s v="Requirements Analysis"/>
    <s v="Business Rules"/>
    <m/>
    <m/>
    <s v="1. Improved Clarity of Business Logic_x000a_2. Reduced Requirement Ambiguity_x000a_3. Faster Documentation Preparation"/>
    <m/>
    <s v="Provide requirement docs and policies; AI extracts rules; BA validates logic"/>
    <s v="Ensures all rules are explicitly documented"/>
    <s v="Mostafa Alqazaz"/>
    <s v="Dependencies:_x000a_- Access to source documents such as BRDs and requirement specifications_x000a_- Availability of domain SMEs to validate extracted rules._x000a__x000a_Support Needed:_x000a_- Access to AI tools capable of analyzing large text documents and extracting structured information_x000a_- Definition of the target business rule documentation format_x000a_- Review process with business analysts and architects_x000a__x000a_Additional Comments/Remarks:_x000a_This use case is particularly useful in domains where business logic is complex and heavily rule-driven"/>
    <s v="Yes"/>
    <s v="Planned"/>
    <s v="Input Sources_x000a_- business requirement documents (BRD)_x000a_- Functional specifications_x000a_- Operational policies_x000a_- Regulatory documents_x000a__x000a_Target Artifacts_x000a_- business rule catalog_x000a_- rule documentation tables_x000a_- traceability matrices_x000a_- rule validation checklists_x000a__x000a_AI Tools_x000a_GitHub Copilot"/>
    <s v="Ahmed Fadl"/>
    <x v="0"/>
    <x v="1"/>
    <s v="Useful rules extraction; add measurable impact, owner, and tool."/>
    <s v="Strong AI use case. Especially good when requirements and policy documents are large or inconsistent. Needs human validation because rule extraction can miss exceptions."/>
    <s v="Ingest policies/BRDs, extract candidate rules, normalize into decision tables, map rule source references, BA/SME review and sign-off"/>
    <m/>
    <m/>
    <m/>
    <m/>
  </r>
  <r>
    <n v="6"/>
    <s v="ADI"/>
    <m/>
    <s v="ADI-BA-08"/>
    <s v="Use Case Documentation"/>
    <s v="AI-assisted creation of detailed use cases with all flows (main, alternative, exception)"/>
    <n v="46023"/>
    <s v="Analysis"/>
    <s v="Requirements Analysis"/>
    <s v="Use Case Modeling"/>
    <m/>
    <m/>
    <s v="1. Faster Documentation of Functional Behavior_x000a_2. Improved Requirement Clarity_x000a_3. Reduced Manual Effort for Analysts"/>
    <m/>
    <s v="Describe user-system interactions; AI generates structured use cases; BA validates business logic"/>
    <s v="Ensures all edge cases are documented systematically"/>
    <s v="Mostafa Alqazaz"/>
    <s v="Dependencies:_x000a_- Availability of interview notes, workshop notes, transcripts, or meeting minutes_x000a_- Access to requirement templates or documentation patterns used by Ejada_x000a__x000a_Support Needed:_x000a_- Access to AI tools capable of summarization and requirement extraction_x000a_- Clear target format for outputs such as BRD, user stories, epics_x000a_- Review support from BA / architect / business owner_x000a__x000a_Additional Remarks/Comments:_x000a_This use case is very suitable for evaluating AI in:_x000a_- summarization_x000a_- requirement extraction_x000a_- categorization_x000a_- conflict identification_x000a_- drafting of structured business artifacts"/>
    <s v="Yes"/>
    <s v="Planned"/>
    <s v="Input Sources_x000a_- Interview notes_x000a_- Workshop minutes_x000a_- Meeting summaries_x000a__x000a_Target Artifacts_x000a_- BRD sections_x000a_- Requirement lists_x000a_- User stories_x000a__x000a_AI Tools_x000a_Github Copilot and Git repos"/>
    <s v="Ahmed Fadl"/>
    <x v="0"/>
    <x v="1"/>
    <s v="Useful documentation aid; add KPI, owner, and implementation tooling."/>
    <s v="Useful and doable. Good documentation accelerator, but should stay human-reviewed because completeness depends on context quality."/>
    <s v="Feed business process description and actors, generate main/alternative/exception flows, identify missing preconditions/postconditions, BA validation pass"/>
    <m/>
    <m/>
    <m/>
    <m/>
  </r>
  <r>
    <n v="7"/>
    <s v="Cloud Eng. &amp; Observ"/>
    <s v="Public Cloud and Modernization"/>
    <m/>
    <s v="Terraform Code Generation &amp; Review"/>
    <s v="Terraform: IaC code generation (Terraform, etc.), Creating Terraform modules from natural language requirements, Converting Terraform modules between cloud providers (e.g., AWS to GCP), code review and standardization - identifying hardcoded values, inconsistent variable usage, and enforcing coding standards"/>
    <m/>
    <m/>
    <s v="Code &amp; Infrastructure Generation"/>
    <m/>
    <m/>
    <m/>
    <s v=" Faster infrastructure provisioning, reduced syntax errors, accelerated deployment cycles"/>
    <m/>
    <s v="Use as starting point, review for security/standards, test in non-prod first"/>
    <s v="AI handles well, human review essential for security and architecture"/>
    <m/>
    <s v="Requires peer review, must align with org standards"/>
    <s v="Yes"/>
    <s v="In Progress"/>
    <s v="Microsoft Copilot "/>
    <s v="Hisham Elrakaiby"/>
    <x v="0"/>
    <x v="2"/>
    <s v="In-progress IaC use case with clear scope: Terraform generation, cross-cloud conversion, code review, standards enforcement. Copilot confirmed. Gap: no named individual owner and no actual hours-saved baseline documented."/>
    <s v="High feasibility. Terraform generation from natural language is well-validated. Risk: generated IaC may contain insecure defaults. Mitigation: mandatory tfsec/Checkov scan in non-prod before any generated code is applied to production."/>
    <s v="1) Define prompt template with org naming conventions, tagging policy, security baseline. 2) Engineer describes infra requirement in natural language. 3) AI generates Terraform module. 4) Automated tfsec/Checkov scan — block on HIGH findings. 5) Engineer reviews and tests in non-prod. 6) Merge to IaC repo after peer review. 7) Track: time-to-deployable-IaC before vs after."/>
    <n v="0.5"/>
    <m/>
    <m/>
    <m/>
  </r>
  <r>
    <n v="8"/>
    <s v="Cloud Eng. &amp; Observ"/>
    <s v="Public Cloud and Modernization"/>
    <m/>
    <s v="CI/CD Pipeline Automation"/>
    <s v="CI/CD pipeline automation and configuration"/>
    <m/>
    <m/>
    <s v="Code &amp; Infrastructure Generation"/>
    <m/>
    <m/>
    <m/>
    <s v="Faster pipelines setup, standardized deployments, reduced configuration errors"/>
    <m/>
    <s v="Review security practices, validate against org CI/CD standards, test in isolated environment"/>
    <s v="Good for common pipeline patterns, customize for specific workflows"/>
    <m/>
    <m/>
    <s v="No"/>
    <m/>
    <s v="Microsoft Copilot "/>
    <s v="Hisham Elrakaiby"/>
    <x v="1"/>
    <x v="3"/>
    <s v="The use case is technically feasible, but in its current form it is mostly deterministic DevOps engineering rather than a distinct AI-led use case._x000a_Most enterprise value comes from pipeline templates, golden paths, reusable YAML, policy checks, and platform standards._x000a_AI is relevant only when scoped to pipeline drafting, failure explanation, stage recommendation, test generation, or misconfiguration summarization under human and policy control."/>
    <s v="High doability operationally; Medium AI fit. Strong DevOps applicability, but AI should be limited to authoring assistance, troubleshooting, recommendation, and summarization. AI should not own deployment logic, secret handling, approval gates, or production execution end-to-end."/>
    <s v="Use it as an AI-assisted DevOps accelerator: generate starter pipeline YAML, explain failed pipeline runs, recommend missing controls, and summarize misconfigurations. Keep final execution rule-based through approved CI/CD platforms with security scanning, policy validation, and human approval."/>
    <s v="NA"/>
    <m/>
    <m/>
    <m/>
  </r>
  <r>
    <n v="9"/>
    <s v="Cloud Eng. &amp; Observ"/>
    <s v="Public Cloud and Modernization"/>
    <m/>
    <s v="Cloud Resource Bulk Operations"/>
    <s v="Performing bulk operations (e.g., 'stop all VMs with tag X'), Quick configuration checks across cloud resources"/>
    <m/>
    <m/>
    <s v="Agent-Based Actions &amp; Quick Commands"/>
    <m/>
    <m/>
    <m/>
    <s v=" Saves time on repetitive tasks, reduces manual errors, enables quick emergency actions"/>
    <m/>
    <s v="Test commands on single resource first, verify target scope before execution, implement dry-run"/>
    <s v="High efficiency for routine operations but needs safeguards"/>
    <m/>
    <s v="Requires proper authentication and RBAC"/>
    <s v="Yes"/>
    <s v="Planned"/>
    <s v="Microsoft Copilot "/>
    <s v="Hisham Elrakaiby"/>
    <x v="2"/>
    <x v="4"/>
    <s v="This use case is operationally valuable but is fundamentally a cloud automation and runbook orchestration capability, not a strong governed AI use case._x000a_Bulk actions such as stopping VMs, applying tags, or checking configurations are deterministic, high-risk operations that require strict RBAC, dry-run, scoped targeting, auditability, and approval workflow. Natural-language interpretation may help, but AI should not be the primary execution layer."/>
    <s v="High doability operationally; Low-Medium AI fit. The operational capability is real and useful, but AI fit is weak unless narrowed to intent interpretation, impact preview, or operator assistance. Autonomous execution through AI is not appropriate in enterprise cloud operations."/>
    <s v="Keep as guardrailed ops automation. Optionally use AI only for command drafting, impact summarization, and approval support. Execution must remain scripted, policy-controlled, and human-approved through CLI, automation accounts, Functions/Lambda, or orchestration tools. Re-submit only if reframed toward anomaly detection, summarization, or decision support."/>
    <s v="60-70%"/>
    <m/>
    <m/>
    <m/>
  </r>
  <r>
    <n v="10"/>
    <s v="Cloud Eng. &amp; Observ"/>
    <s v="Public Cloud and Modernization"/>
    <m/>
    <s v="Infrastructure Discovery &amp; Documentation"/>
    <s v="Discovery and Documentiation: automated discovery and inventory tasks, environments scanning for insights, generating environment documentation and instructions, creating visual representations of infrastructure/architecture, auto-generating runbooks from actual infrastructure configurations, "/>
    <m/>
    <m/>
    <s v="Agent-Based Actions &amp; Quick Commands"/>
    <m/>
    <m/>
    <m/>
    <s v="Speeds up discovery phase, maintains up-to-date asset inventory, reduces manual documentation effort"/>
    <m/>
    <s v=" Schedule regular scans, validate completeness"/>
    <s v="Efficient for baseline inventory but requires regular manual validations"/>
    <m/>
    <s v=" May need read-only service account, consider rate limits"/>
    <s v="Yes"/>
    <s v="Planned"/>
    <s v="Microsoft Copilot "/>
    <s v="Hisham Elrakaiby"/>
    <x v="0"/>
    <x v="0"/>
    <s v="Clear use case: auto-discovery of cloud assets, runbook generation from live infrastructure configs, up-to-date inventory maintenance. In-progress, Copilot confirmed. Gap: no named individual owner and no baseline hours-saved metric."/>
    <s v="High feasibility. Infrastructure scanning → documentation is low-risk, high-value. Output is advisory/documentary — no execution risk. Well-suited for scheduled runs."/>
    <s v="1) Define scan scope and cloud account access (read-only IAM). 2) Schedule automated discovery scans (weekly). 3) AI generates: asset inventory, dependency maps, runbook drafts, architecture summaries. 4) Cloud engineer validates completeness. 5) Publish to shared wiki/CMDB. 6) KPI: documentation currency % and hours saved per discovery cycle."/>
    <n v="0.4"/>
    <m/>
    <m/>
    <m/>
  </r>
  <r>
    <n v="11"/>
    <s v="Cloud Eng. &amp; Observ"/>
    <s v="Public Cloud and Modernization"/>
    <m/>
    <s v="Performance Diagnostics &amp; Troubleshooting"/>
    <s v="Performance analysis: Root cause analysis for incidents by correlating multiple data sources,  performance bottleneck identification in K8s clusters or DBs, explaining error messages in context of specific environments"/>
    <m/>
    <m/>
    <s v="Troubleshooting &amp; Analysis"/>
    <m/>
    <m/>
    <m/>
    <s v="Reduces MTTR, improves incident understanding, may prevent recurrence"/>
    <s v=" "/>
    <s v="Provide relevant context, verify conclusions, document for post-mortems"/>
    <s v="Useful correlation tool but human expertise needed for final diagnosis"/>
    <m/>
    <s v="Requires access to logs, metrics, and incident history"/>
    <s v="No"/>
    <m/>
    <s v="Microsoft Copilot "/>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0.4"/>
    <m/>
    <m/>
    <m/>
  </r>
  <r>
    <n v="12"/>
    <s v="Cloud Eng. &amp; Observ"/>
    <s v="Public Cloud and Modernization"/>
    <m/>
    <s v="Cost Analysis &amp; Capacity Planning"/>
    <s v="Utilization and Cost: cost anomaly detection and explanation, cloud Discounts analysis and recommendations (e.g. GCP's CUDs), predicting capacity needs based on historical trends, analyzing resource utilization patterns and recommending rightsizing"/>
    <m/>
    <m/>
    <s v="Capacity Planning &amp; Cost Optimization"/>
    <m/>
    <m/>
    <m/>
    <s v=" Prevents budget overruns, identifies waste, supports cost optimization"/>
    <m/>
    <s v="Set baseline thresholds, investigate anomalies promptly, track trends"/>
    <s v="Effective early warning system for cost issues"/>
    <m/>
    <s v="Should integrate with billing alerts, may need historical cost data, needs testing"/>
    <s v="No"/>
    <m/>
    <s v="Microsoft Copilot "/>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0.5"/>
    <m/>
    <m/>
    <m/>
  </r>
  <r>
    <n v="13"/>
    <s v="Cloud Eng. &amp; Observ"/>
    <s v="Public Cloud and Modernization"/>
    <m/>
    <s v="Cloud Security &amp; Compliance Review"/>
    <s v="Security practices: Cloud security policy review and gap analysis, Generating compliance evidence documentation (helpful for audits and NCA requirements), Cloud IAM policy analysis and recommendations, Vulnerability remediation guidance with context-aware fixes"/>
    <m/>
    <m/>
    <s v="Security &amp; Compliance"/>
    <m/>
    <m/>
    <m/>
    <s v="Strengthens security posture, ensures compliance, identifies vulnerabilities, reduces audit preparation time, ensures completeness, maintains compliance"/>
    <m/>
    <s v="Cross-reference with security standards, prioritize findings, validate recommendations, Verify evidence accuracy, organize by control framework, update regularly"/>
    <s v="Helpful for initial review but requires security expertise for remediation, streamlines compliance documentation but needs auditor validation"/>
    <m/>
    <s v="Should align with NCA ECC and organizational security policies, must be version-controlled"/>
    <s v="No"/>
    <m/>
    <s v="Microsoft Copilot "/>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0.4"/>
    <m/>
    <m/>
    <m/>
  </r>
  <r>
    <n v="14"/>
    <s v="Cloud Eng. &amp; Observ"/>
    <s v="Public Cloud and Modernization"/>
    <m/>
    <s v="Firewall Rules Management"/>
    <s v="Reviewing and optimizing firewall rules across Shared VPC"/>
    <m/>
    <m/>
    <s v="Configuration Management"/>
    <m/>
    <m/>
    <m/>
    <s v="Improves security posture, reduces rule complexity, identifies unused rules"/>
    <m/>
    <s v="Document all changes, verify impact on traffic, test before applying"/>
    <s v="Helps maintain clean firewall configuration"/>
    <m/>
    <s v="Requires network traffic analysis"/>
    <s v="No"/>
    <m/>
    <s v="Microsoft Copilot "/>
    <s v="Hisham Elrakaiby"/>
    <x v="1"/>
    <x v="5"/>
    <s v="In its current wording, this looks like standard firewall governance and network/security engineering. However, there is credible AI value if the use case is narrowed to rule analysis rather than automatic change execution._x000a_AI can support duplicate-rule detection, stale-rule identification, access-path summarization, risk explanation, and recommendation generation, but not unsupervised rule modification in production."/>
    <s v="High doability operationally; Medium-High AI fit if focused on analysis. Strong technical applicability when flow logs, policy metadata, and ownership context are available. AI fit becomes valid only when used for analysis, rationalization, and human decision support."/>
    <s v="Reframe as AI-assisted firewall rule review and optimization support. Use AI to analyze logs and policy sets, identify redundant or overly broad rules, summarize likely impact, and propose cleanup recommendations for security/network team review. Keep actual rule changes under formal change control and human approval."/>
    <n v="0.5"/>
    <m/>
    <m/>
    <m/>
  </r>
  <r>
    <n v="15"/>
    <s v="Cloud Eng. &amp; Observ"/>
    <s v="Public Cloud and Modernization"/>
    <m/>
    <s v="Configuration Drift Detection"/>
    <s v="Comparing configurations across environments to catch drift"/>
    <m/>
    <m/>
    <s v="Configuration Management"/>
    <m/>
    <m/>
    <m/>
    <s v="Ensures environment consistency, catches unauthorized changes, supports change management"/>
    <m/>
    <s v=" Define expected state, automate comparison, alert on significant drift"/>
    <s v="Maintains configuration integrity across environments"/>
    <m/>
    <s v="Should integrate with IaC workflows, needs baseline definitions"/>
    <s v="Yes"/>
    <s v="Planned"/>
    <s v="Microsoft Copilot "/>
    <s v="Hisham Elrakaiby"/>
    <x v="0"/>
    <x v="0"/>
    <s v="Pure drift detection is deterministic and should rely on IaC baselines, cloud inventory, config comparison, and policy engines._x000a_However, this case becomes a valid AI use case when AI is applied to drift impact analysis, noise reduction, classification of expected vs suspicious changes, probable root-cause inference, prioritization, and remediation recommendation. This is the strongest AI candidate among the four."/>
    <s v="High doability operationally; Medium-High AI fit. The deterministic detection layer is mature and feasible; AI adds meaningful value in triage, context enrichment, prioritization, and operational decision support. This makes it suitable for pilot under controlled scope."/>
    <s v="Implement as AI-enhanced drift intelligence. Use standard tools for actual drift detection, then apply AI to classify drift severity, summarize risk, infer likely cause, and recommend remediation. Start with one cloud/platform scope, one baseline source of truth, and human-validated outputs before broader rollout."/>
    <n v="0.7"/>
    <m/>
    <m/>
    <m/>
  </r>
  <r>
    <n v="16"/>
    <s v="Cloud Eng. &amp; Observ"/>
    <s v="Public Cloud and Modernization"/>
    <m/>
    <s v="Cloud Best Practices Knowledge"/>
    <s v="Quick answers about cloud platforms' best practices without searching documentation"/>
    <m/>
    <m/>
    <s v="Knowledge Retrieval"/>
    <m/>
    <m/>
    <m/>
    <s v="Saves research time, accelerates decision-making, improves implementation quality"/>
    <m/>
    <s v="Verify against official documentation, consider context, cross-check critical decisions"/>
    <s v="Efficient knowledge retrieval but validate for production use"/>
    <m/>
    <s v="Should not replace official documentation for critical implementations"/>
    <s v="Yes"/>
    <s v="Planned"/>
    <s v="Microsoft Copilot"/>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0.7"/>
    <m/>
    <m/>
    <m/>
  </r>
  <r>
    <n v="17"/>
    <s v="Cloud Eng. &amp; Observ"/>
    <s v="ServiceNow"/>
    <m/>
    <s v="AI-Requirements Gathering automation "/>
    <s v="Using tools like Microsoft Copilot:_x000a_- Convert workshop transcripts into structured requirements_x000a_- Draft BRDs, FSDs, and user stories automatically_x000a_- Summarize stakeholder meetings_x000a_- Generate process documentation_x000a_- Create RACI matrices and test scenarios"/>
    <m/>
    <s v="Design"/>
    <s v="Design Automation"/>
    <m/>
    <m/>
    <m/>
    <s v="Reduces BA documentation effort by 30–50%"/>
    <m/>
    <s v="Implementation Guidelines: 1) Record &amp; transcribe workshop. 2) Feed to Copilot with SN context. 3) AI generates BRD/stories/RACI. 4) BA reviews &amp; approves. 5) Approved items to backlog. 6) Track effort delta"/>
    <m/>
    <m/>
    <m/>
    <s v="Yes"/>
    <s v="Planned"/>
    <s v="Microsoft Copilot"/>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r>
  <r>
    <n v="18"/>
    <s v="Cloud Eng. &amp; Observ"/>
    <s v="ServiceNow"/>
    <m/>
    <s v="Test senarios Auto-generations"/>
    <s v="-Convert BRD / User Stories into structured test cases_x000a_-Generate positive &amp; negative scenarios_x000a_-Create boundary test conditions_x000a_-Produce UAT scripts"/>
    <m/>
    <s v="Testing"/>
    <s v="Test Automation"/>
    <m/>
    <m/>
    <m/>
    <s v="Saves 40–60% of test design effort."/>
    <m/>
    <s v="Implementation Guidelines: 1) Confirm Now Assist license. 2) Feed stories/BRD to Now Assist. 3) AI generates test cases. 4) QA lead reviews &amp; approves. 5) Load to ATF. 6) Track coverage %"/>
    <m/>
    <m/>
    <m/>
    <s v="No"/>
    <s v="Planned"/>
    <s v="Microsoft Copilot + ServiceNow ATF + ServiceNow Now Assist (requires Licenses)"/>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r>
  <r>
    <n v="19"/>
    <s v="Cloud Eng. &amp; Observ"/>
    <s v="BCDR"/>
    <m/>
    <s v="AI-Powered BIA Analyser"/>
    <s v="AI-powered tool that guides stakeholders through a structured questionnaire and automatically produces a professional Business Impact Analysis (BIA) report — identifying critical systems, business dependencies, and recovery priorities. Serves all streams including Cloud, Cybersecurity, Enterprise Apps, and Managed Services from a single exercise."/>
    <n v="46079"/>
    <s v="Analysis"/>
    <s v="Business Analysis"/>
    <s v="BIA &amp; Criticality Discovery"/>
    <s v="6 -8 weeks"/>
    <s v="1-2 weeks"/>
    <s v="Significantly reduces BIA project delivery time. Reduces man-hours per engagement. Single exercise serves all streams. Billable as standalone AI Discovery Service."/>
    <s v="All client-facing BCDR engagements"/>
    <s v="Stakeholders fill a structured questionnaire. Responses fed into AI. AI generates BIA report automatically. Output reviewed and delivered as PDF/Word."/>
    <s v="Replaces weeks of manual workshops with an AI-driven exercise. Consistent, auditable output every time."/>
    <m/>
    <s v="Internally built AI product. Not dependent on public AI tools. Deployable within client's private cloud environment."/>
    <s v="Yes"/>
    <s v="Planned"/>
    <s v="AI-powered BIA Product, Generative AI (LLM), Microsoft Teams, SharePoint"/>
    <s v="Hisham Elrakaiby"/>
    <x v="0"/>
    <x v="0"/>
    <s v="Excellent BCDR product: structured questionnaire → AI-generated professional BIA report. Effort from 6–8 weeks to 1–2 weeks. Billable as standalone AI Discovery Service. Gap: no named individual product owner; no pilot client identified."/>
    <s v="High feasibility. Questionnaire-to-report generation is reliable LLM pattern. BIA content is structured and amenable to template-driven generation. Risk: regulatory acceptability of AI-generated BIA must be confirmed for SAMA/NCA-regulated clients."/>
    <s v="1) Assign individual product owner. 2) Build structured questionnaire: critical systems, business processes, dependencies, RPO/RTO targets. 3) AI generates BIA report from responses (Word/PDF). 4) Consultant reviews and signs off. 5) Pilot with one existing BCDR client. 6) KPI: delivery time per BIA engagement before vs after; client satisfaction score."/>
    <m/>
    <m/>
    <m/>
    <m/>
  </r>
  <r>
    <n v="20"/>
    <s v="Cloud Eng. &amp; Observ"/>
    <s v="BCDR"/>
    <m/>
    <s v="AI-Powered Backup Compliance Auditor"/>
    <s v="AI-powered tool that analyses an organisation's backup and replication configuration, identifies unprotected systems, policy violations, and compliance gaps against SAMA, NCA, and ISO 22301 requirements. Supports leading backup platforms including Veeam, Commvault, and Veritas. Client exports their configuration in one click — AI produces a full audit report automatically."/>
    <n v="46079"/>
    <s v="Analysis"/>
    <s v="BCDR Compliance"/>
    <s v="Backup &amp; Replication Audit"/>
    <s v="3–5 days"/>
    <s v="Few hours"/>
    <s v="Identifies backup compliance gaps before an auditor does. Finds critical systems not covered by any backup or replication job. Produces regulator-ready audit report for SAMA, NCA, ISO 22301. Billable as standalone BCDR Compliance Audit engagement."/>
    <s v="All clients with backup and replication environments"/>
    <s v="Client exports backup tool configuration in one click. Upload to AI tool. AI analyses against compliance standards. Full audit report generated automatically."/>
    <s v="Fills the compliance intelligence gap that backup tools like Veeam do not provide natively. Zero manual effort from the client."/>
    <m/>
    <s v="Supports all major backup platforms. Internally built "/>
    <s v="Yes"/>
    <s v="Planned"/>
    <s v="AI-powered Backup Auditor, Generative AI (LLM), Veeam / Commvault / Veritas, SharePoint"/>
    <s v="Hisham Elrakaiby"/>
    <x v="0"/>
    <x v="0"/>
    <s v="Strong compliance product. Client exports backup config → AI produces regulator-ready audit report against SAMA/NCA/ISO 22301. Effort from 3–5 days to hours. Billable as standalone BCDR Compliance Audit. Gap: no named individual product owner; no pilot account."/>
    <s v="High feasibility. Backup configuration files are structured/exportable from Veeam/Commvault/Veritas. AI compliance mapping is well-proven. Risk: false confidence if client's config export is incomplete or not representative of actual backup state."/>
    <s v="1) Assign individual product owner. 2) Build config export templates for Veeam/Commvault/Veritas. 3) Define compliance rule set: SAMA CSF, NCA ECC, ISO 22301 backup controls. 4) AI ingests config export, identifies unprotected systems and policy violations. 5) Generate audit report with gap list and remediation. 6) Pilot with one existing BCDR client. 7) KPI: audit report preparation time before vs after."/>
    <m/>
    <m/>
    <m/>
    <m/>
  </r>
  <r>
    <n v="21"/>
    <s v="Cloud Eng. &amp; Observ"/>
    <s v="BCDR"/>
    <m/>
    <s v="IaC DR Environment implementation"/>
    <s v="AI generates Terraform module stubs for DR environments based on the approved LLD, leveraging the hub's IaC library patterns for each platform (AWS, Azure, GCP, OCI, On-Prem)."/>
    <n v="46079"/>
    <s v="Analysis"/>
    <s v="IaC DR Environment implementation"/>
    <m/>
    <s v="2-4 weeks"/>
    <s v="1 week"/>
    <s v="• Accelerates implementation phase significantly_x000a_• Ensures IaC-first delivery across all engagements_x000a_• Reduces risk of manual configuration errors"/>
    <s v="All client-facing BCDR engagements"/>
    <s v="Confirm LLD is approved and signed off (prerequisite). 2) Define IaC library pattern catalog as AI context. 3) AI generates Terraform module stubs per LLD component (VMs, networking, replication). 4) Engineer reviews against LLD and IaC standards. 5) tfsec/Checkov scan — block on HIGH. 6) Non-prod DR test provisioning. 7) Track: IaC generation time per DR environment"/>
    <m/>
    <m/>
    <m/>
    <m/>
    <m/>
    <m/>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m/>
    <m/>
    <m/>
    <m/>
  </r>
  <r>
    <n v="22"/>
    <s v="Cloud Eng. &amp; Observ"/>
    <s v="BCDR"/>
    <m/>
    <s v="AI-Powered Post-Test Report Generator"/>
    <s v="AI analyses captured DR drill logs, timing data, and test outcomes and automatically drafts the post-test exit report — including pass/fail against RTO/RPO, issues found, and recommended remediation actions."/>
    <n v="46079"/>
    <s v="Analysis"/>
    <s v=" Post-Test Report Generator"/>
    <m/>
    <s v="6 -8 weeks"/>
    <s v="1-2 weeks"/>
    <s v="• Removes hours of manual report writing after each drill_x000a_• Produces consistent, professional reports across all engagements_x000a_• Enables faster customer sign-off and phase closure"/>
    <s v="All client-facing BCDR engagements"/>
    <s v="Define standard drill log format capturing timing, test steps, issues, RTO/RPO actuals. 2) Drill coordinator validates raw data completeness. 3) Feed logs to AI with report template. 4) AI drafts report. 5) BCDR consultant reviews and finalizes. 6) Client sign-off. 7) KPI: time from drill completion to final report delivery"/>
    <m/>
    <m/>
    <m/>
    <m/>
    <m/>
    <m/>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m/>
    <m/>
    <m/>
    <m/>
  </r>
  <r>
    <n v="23"/>
    <s v="Cloud Eng. &amp; Observ"/>
    <s v="Cloud Engineering -Networks and Security"/>
    <m/>
    <s v="AI-Driven Autonomous SOC"/>
    <s v="AI-centric security operations platform that unifies SIEM, XDR, SOAR, UEBA, and exposure management to automate detection, investigation, and response across enterprise environments."/>
    <n v="46079"/>
    <s v="Operation"/>
    <s v="Automation"/>
    <s v="Security"/>
    <s v="3–5 days"/>
    <s v="Few hours"/>
    <s v="*Consolidates fragmented SOC tooling_x000a_*Automates alert triage and response workflows_x000a_*Reduces detection and response time_x000a_*Improves cross-domain visibility_x000a_*Optimizes SOC operational efficiency"/>
    <s v="SoC as a service and managed SOC and PS"/>
    <s v="Decompose into sub-use-cases: alert triage, playbook execution, UEBA anomaly detection, exposure management. 2) Assign owner per sub-case. 3) Management approval for platform selection. 4) Pilot highest-priority sub-case first"/>
    <m/>
    <m/>
    <m/>
    <s v="No"/>
    <m/>
    <s v="*Palo Alto Networks’ Cortex XSIAM_x000a_*CrowdStrike Falcon"/>
    <s v="Hisham Elrakaiby"/>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m/>
    <m/>
    <m/>
    <m/>
  </r>
  <r>
    <n v="24"/>
    <s v="Cybersecurity"/>
    <s v="ECC"/>
    <s v="CS-AI-01"/>
    <s v="AI-Driven Threat Detection &amp; Response Automation"/>
    <s v="Deploy machine learning models to detect and respond to security threats in real time, reducing mean time to detect (MTTD)  by 60–80%."/>
    <n v="46079.448238541663"/>
    <s v="NA"/>
    <s v="Security Operations"/>
    <s v="Detection and Response Automation"/>
    <s v="MTTD=4:6 Hours "/>
    <s v="MTTD=15:30 Mins"/>
    <s v="• Improves SLA compliance: Reduces MTTD from hours to minutes, directly supporting higher SLA tiers_x000a_• Scales operations: Automates routine threat analysis, allowing teams to handle 3–5x more clients without proportional headcount increase_x000a_• Increases revenue per customer: Premium support tiers with faster response times command 15–25% higher fees_x000a_• Reduces alert fatigue: ML prioritizes critical threats, reducing false positives by 40–60%, improving team morale and accuracy_x000a_"/>
    <s v="NA"/>
    <s v="Baseline Security Logs:_x000a_•_x0009_Ingest logs from SIEM, IDS/IPS, firewall, DNS, and endpoint detection systems_x000a_•_x0009_Create baseline profiles of normal behavior per user, host, and network segment_x000a_ML Models &amp; Techniques:_x000a_•_x0009_Anomaly Detection: Isolation Forests or Autoencoders flag unusual traffic patterns, login times, or data transfers_x000a_• Threat Scoring: Random Forest or Gradient Boosting ranks threats by likelihood of compromise_x000a_• Behavioral Clustering: Group similar incidents to identify campaigns or attack patterns_x000a_Automation &amp; Response:_x000a_• Playbook Integration: Automatically block IPs, quarantine endpoints, or escalate to human analysts_x000a_• Dynamic Tuning: Model retrains weekly to adapt to evolving threat landscape_x000a_• Analyst Feedback Loop: Security team's manual decisions feed back into model refinement"/>
    <s v="• Improves SLA compliance: Reduces MTTD from hours to minutes, directly supporting higher SLA tiers_x000a_• Scales operations: Automates routine threat analysis, allowing teams to handle 3–5x more clients without proportional headcount increase_x000a_• Increases revenue per customer: Premium support tiers with faster response times command 15–25% higher fees_x000a_• Reduces alert fatigue: ML prioritizes critical threats, reducing false positives by 40–60%, improving team morale and accuracy_x000a_"/>
    <s v="Wagieh Sheira"/>
    <m/>
    <s v="Yes"/>
    <s v="Planned"/>
    <s v="SIEM and SOAR Solutions "/>
    <s v="Wagieh Sheira"/>
    <x v="0"/>
    <x v="0"/>
    <s v="Mature, well-documented use case. ML-based threat detection with quantified MTTD improvement (4–6 hours → 15–30 minutes). Named owner (Wagieh Sheira), confirmed tooling (SIEM/SOAR), clear implementation steps, strong commercial justification. No blocking gaps."/>
    <s v="High feasibility. Behavioral anomaly detection + threat scoring on SIEM data is production-proven. Risk: model retraining cadence and feedback loop must be operational before go-live to prevent model drift. False positive management is critical."/>
    <s v="1) Ingest SIEM/IDS/firewall/DNS/endpoint logs. 2) Build behavioral baselines per user, host, network segment. 3) Train anomaly detection and threat-scoring models. 4) Integrate with SOAR for automated response playbooks (IP block, endpoint quarantine, escalation). 5) Weekly model retraining from analyst feedback. 6) Go-live with pilot managed security client. 7) KPI: MTTD before vs after; false positive rate; analyst escalation volume."/>
    <m/>
    <m/>
    <m/>
    <m/>
  </r>
  <r>
    <n v="25"/>
    <s v="Cybersecurity"/>
    <s v="ECC"/>
    <s v="CS-AI-02"/>
    <s v="Vulnerability Assessment &amp; Prioritization Intelligence"/>
    <s v="Use AI to automatically assess, prioritize, and recommend remediation for vulnerabilities, transforming reactive scanning into proactive risk intelligence"/>
    <n v="46079.448238541663"/>
    <s v="Testing"/>
    <s v="Security Assessment"/>
    <s v="Risk Based Vulnerabilities Assessment and prioritization "/>
    <s v="40 Hours/Scan"/>
    <s v="2 Hours/Scan"/>
    <s v="• Differentiates service offering: Customers expect basic scanning; AI-driven prioritization is a premium feature_x000a_• Justifies higher pricing: Customers pay 20–35% more for intelligent remediation guidance_x000a_• Reduces customer risk: Prioritized remediation focus improves security posture measurably_x000a_• Minimizes liability: AI audit trails document why vulnerabilities were prioritized, supporting regulatory compliance"/>
    <s v="NA"/>
    <s v="Data Integration:_x000a_•_x0009_Ingest vulnerability scan data (Nessus, Qualys, OpenVAS) with CVE details_x000a_• Layer in threat intelligence (active exploits, threat actors, malware signatures)_x000a_• Map to customer asset inventory, network segmentation, and business criticality_x000a_AI Prioritization Engine:_x000a_• Risk Score: ML model combines CVSS, exploit availability, asset criticality, and network exposure_x000a_• Contextual Ranking: Ranks vulns relative to customer's threat profile and control maturity_x000a_• Remediation Roadmap: Suggests fix order balancing effort, impact, and timeline_x000a_Actionable Outputs:_x000a_• Executive Dashboard: Risk trends, top vulns, and fix progress over time_x000a_• Remediation Playbooks: Auto-generated step-by-step guidance for each vulnerability_x000a_• Compliance Mapping: Links vulns to regulatory requirements (PCI-DSS, NCA, PDPL, SAMA CSF, CST CRF)"/>
    <s v="• Differentiates service offering: Customers expect basic scanning; AI-driven prioritization is a premium feature_x000a_• Justifies higher pricing: Customers pay 20–35% more for intelligent remediation guidance_x000a_• Reduces customer risk: Prioritized remediation focus improves security posture measurably_x000a_• Minimizes liability: AI audit trails document why vulnerabilities were prioritized, supporting regulatory compliance"/>
    <s v="Wagieh Sheira"/>
    <m/>
    <s v="Yes"/>
    <s v="Planned"/>
    <s v="AI-Powered Vulnerability Scanning Tools"/>
    <s v="Wagieh Sheira"/>
    <x v="0"/>
    <x v="0"/>
    <s v="Premium security use case. AI prioritizes vulnerabilities by combining CVSS, threat intel, asset criticality, and network exposure. Named owner (Wagieh Sheira), effort baseline (40 hours → 2 hours per scan), confirmed tooling. No blocking gaps."/>
    <s v="High feasibility. Vulnerability data is structured and well-suited to AI prioritization. Risk: over-reliance on AI ranking if threat intel feeds are stale. Mitigation: weekly threat intel refresh; analyst review of top-10 vulnerabilities before customer report is issued."/>
    <s v="1) Ingest scan data from Nessus/Qualys/OpenVAS with CVE metadata. 2) Layer threat intel feeds (active exploit data, CISA KEV). 3) Map to asset inventory and business criticality register. 4) AI generates risk-ranked prioritization with remediation roadmap. 5) Map to NCA/PDPL/SAMA CSF/PCI-DSS compliance controls. 6) Produce executive dashboard + per-vuln remediation playbooks. 7) Pilot with one scan cycle for a managed security client."/>
    <m/>
    <m/>
    <m/>
    <m/>
  </r>
  <r>
    <n v="26"/>
    <s v="Cybersecurity"/>
    <s v="ECC"/>
    <s v="CS-AI-03"/>
    <s v="AI-Driven Compliance Automation &amp; Audit Readiness"/>
    <s v="Deploy AI to continuously monitor security controls against regulatory frameworks (NCA, PDPL, SAMA CSF and CST CRF, ISO 27001,PCI-DSS), auto-generate audit evidence, and provide real-time compliance gap analysis — transforming compliance from a periodic, manual burden into a continuous, automated capability."/>
    <n v="46079.448238541663"/>
    <s v="Testing"/>
    <s v="Security Assessment"/>
    <s v="Compliance Check"/>
    <s v="6-12 Weeks"/>
    <s v="1-2 weeks"/>
    <s v="• Addresses massive market pain: Compliance prep consumes 30–40% of internal security team time; customers pay premium to offload it_x000a_• High-margin recurring revenue: Compliance-as-a-Service contracts can achieve 70–80% gross margins once automated_x000a_• Sticky customer relationships: Compliance data residency creates high switching costs, dramatically improving net revenue retention_x000a_• Multi-framework leverage: AI maps controls once; re-uses evidence across  NCA, PDPL, SAMA CSF and CST CRF, ISO 27001,PCI-DSS  simultaneously, multiplying efficiency"/>
    <s v="NA"/>
    <s v="Continuous Control Monitoring:_x000a_• Ingest configuration data from cloud environments (AWS, Azure, GCP), SaaS tools, identity providers, and endpoint management platforms_x000a_• Map configurations to compliance control requirements in real time; alert when controls drift out of compliance_x000a_AI Evidence Collection &amp; Generation:_x000a_• Auto-collect and tag audit evidence (screenshots, config exports, log samples) and store in auditor-ready format organized by control_x000a_• NLP model drafts policy documents, risk assessments, and control narratives based on observed configurations and control evidence_x000a_• Gap Analysis Engine: ML identifies missing controls, suggests remediation priority, and estimates effort to achieve certification readiness"/>
    <s v="• Addresses massive market pain: Compliance prep consumes 30–40% of internal security team time; customers pay premium to offload it_x000a_• High-margin recurring revenue: Compliance-as-a-Service contracts can achieve 70–80% gross margins once automated_x000a_• Sticky customer relationships: Compliance data residency creates high switching costs, dramatically improving net revenue retention_x000a_• Multi-framework leverage: AI maps controls once; re-uses evidence across  NCA, PDPL, SAMA CSF and CST CRF, ISO 27001,PCI-DSS  simultaneously, multiplying efficiency"/>
    <s v="Wagieh Sheira"/>
    <m/>
    <s v="No"/>
    <s v="Planned"/>
    <s v="Service NOW GRC _x000a_Sprinto"/>
    <s v="Wagieh Sheira"/>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r>
  <r>
    <n v="27"/>
    <s v="Cybersecurity"/>
    <s v="ECC"/>
    <s v="CS-AI-04"/>
    <s v="AI-Powered Policy, Standards &amp; Framework Generation"/>
    <s v="LLM automatically generates customized security policies, control frameworks, and compliance roadmaps aligned to NCA, PDPL, SAMA CSF and CST CRF, ISO 27001,PCI-DSS,..etc"/>
    <n v="46079.448238541663"/>
    <s v="NA"/>
    <s v="Security Governance"/>
    <s v="Governance Dccumentation"/>
    <s v="8-12 Weeks"/>
    <s v="2-3 Weeks"/>
    <s v="• Opens new market segment: Small to mid-market (SMB) companies lack dedicated compliance teams and are willing to outsource policy creation_x000a_• Recurring revenue opportunity: Quarterly/Annually policy reviews and updates based on regulatory changes, law changes, or risk shifts create subscription-like revenue model (SAR 5K–SAR 15K per update)_x000a_• Scales with minimal effort: After initial customer context gathering, AI generates customized framework in days; human review &amp; iteration in weeks instead of months_x000a_• Improves quality &amp; consistency: LLM-generated policies are grounded in regulatory text, reducing legal gaps and ensuring alignment with latest standards_x000a_• Reduces liability: AI-generated policies cite specific regulatory sources, creating transparent audit trail that satisfies auditors and regulators"/>
    <m/>
    <s v="Data &amp; Knowledge Foundation:_x000a_• Ingest regulatory texts_x000a_• Create mappings: Build cross-reference matrices linking controls across frameworks _x000a_• Template library: Develop industry-specific templates (financial, healthcare, CNI, ...) with common policies, procedures, and control descriptions_x000a_AI Policy Generation Engine:_x000a_• Customer Intake: Capture organizational profile (industry, size, regulated data types, existing compliance posture, risk appetite)_x000a_• LLM-Generated Draft: Fine-tuned GPT-4 or similar model generates full policy document tailored to customer context, regulation, and control objectives_x000a_• Regulatory Alignment: AI verifies that each control statement aligns with source framework requirements and cites specific regulation/standard_x000a_• Iteration &amp; Refinement: Customer and compliance expert review draft; feedback is fed back to model for iterative improvement_x000a_Deliverables:_x000a_• Customized Security Policy Handbook: Complete policy document covering access control, data classification, incident response, vendor management, etc._x000a_• Control Mapping Matrix: Spreadsheet cross-referencing controls across chosen frameworks _x000a_• Compliance Roadmap: Timeline for control implementation and evidence collection_x000a_• Evidence Templates: Ready-to-use checklists and documentation templates for demonstrating control compliance_x000a_• Regulatory Impact Analysis: Summary of recent regulation/standard changes relevant to customer"/>
    <s v="• Opens new market segment: Small to mid-market (SMB) companies lack dedicated compliance teams and are willing to outsource policy creation_x000a_• Recurring revenue opportunity: Quarterly/Annually policy reviews and updates based on regulatory changes, law changes, or risk shifts create subscription-like revenue model (SAR 5K–SAR 15K per update)_x000a_• Scales with minimal effort: After initial customer context gathering, AI generates customized framework in days; human review &amp; iteration in weeks instead of months_x000a_• Improves quality &amp; consistency: LLM-generated policies are grounded in regulatory text, reducing legal gaps and ensuring alignment with latest standards_x000a_• Reduces liability: AI-generated policies cite specific regulatory sources, creating transparent audit trail that satisfies auditors and regulators"/>
    <s v="Wagieh Sheira"/>
    <m/>
    <s v="No"/>
    <s v="Planned"/>
    <s v="Claude/ChatGPT/Gemini/Copilot"/>
    <s v="Wagieh Sheira"/>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r>
  <r>
    <n v="28"/>
    <s v="DCX"/>
    <m/>
    <s v="DCX-AI-001"/>
    <s v="Login Screen Generator"/>
    <s v="Generate a Login screen (React Native)"/>
    <n v="46048"/>
    <s v="Development"/>
    <s v="Frontend"/>
    <s v="UI Scaffolding"/>
    <s v="2 Man-days"/>
    <s v="1 man day"/>
    <s v="30% faster, generates screen using AI instead of writing components manually"/>
    <n v="3"/>
    <s v="write proper prompt with screen shot from Figma to create the UI screen "/>
    <m/>
    <s v="Yazan Alhusamia"/>
    <m/>
    <s v="No"/>
    <s v="Implemented"/>
    <s v="claude"/>
    <s v="Mohannad Azzi"/>
    <x v="2"/>
    <x v="6"/>
    <s v="This is primarily deterministic engineering/automation work. Standard tooling, reusable components, scripts, policies, or platform capabilities are a better fit than AI-led generation in the current scope."/>
    <s v="Low AI fit in the current form. The requested outcome is primarily deterministic engineering/automation work and is better implemented through standard tooling, templates, policies, or scripts than through AI-led generation."/>
    <s v="Treat this as an automation accelerator, not as a governed AI use case. Use a controlled prompt library or agent to draft commands, templates, checks, or code stubs, but keep execution rule-based, scripted, and human-approved. Only re-submit as an AI use case if the scope is narrowed to analysis, anomaly detection, classification, summarization, or decision support."/>
    <s v="40-50%"/>
    <m/>
    <s v="implelemted"/>
    <m/>
  </r>
  <r>
    <n v="29"/>
    <s v="DCX"/>
    <m/>
    <s v="DCX-AI-002"/>
    <s v="OTP Screen Refactoring"/>
    <s v="Refactor complex screen"/>
    <n v="46048"/>
    <s v="Development"/>
    <s v="Frontend Refactoring"/>
    <s v="Code Modernization"/>
    <s v="4 man-days"/>
    <s v="2 man-days"/>
    <s v="enhance performance for complex screen and make code readable before Raise PR"/>
    <n v="10"/>
    <s v="write proper prompt to explain the current development and extract to sub components and screen"/>
    <m/>
    <s v="Ahmad Ammoura"/>
    <m/>
    <s v="No"/>
    <s v="Implemented"/>
    <s v="claude"/>
    <s v="Mohannad Azzi"/>
    <x v="2"/>
    <x v="6"/>
    <s v="This is primarily deterministic engineering/automation work. Standard tooling, reusable components, scripts, policies, or platform capabilities are a better fit than AI-led generation in the current scope."/>
    <s v="Low AI fit in the current form. The requested outcome is primarily deterministic engineering/automation work and is better implemented through standard tooling, templates, policies, or scripts than through AI-led generation."/>
    <s v="Treat this as an automation accelerator, not as a governed AI use case. Use a controlled prompt library or agent to draft commands, templates, checks, or code stubs, but keep execution rule-based, scripted, and human-approved. Only re-submit as an AI use case if the scope is narrowed to analysis, anomaly detection, classification, summarization, or decision support."/>
    <s v="40-50%"/>
    <m/>
    <s v="implelemted"/>
    <m/>
  </r>
  <r>
    <n v="30"/>
    <s v="DCX"/>
    <m/>
    <s v="DCX-AI-003"/>
    <s v="Internal Transfer API Integration"/>
    <s v="Generate API service, DTOs, error handling, retry logic"/>
    <n v="46048"/>
    <s v="Development"/>
    <s v="Backend"/>
    <s v="API Integration"/>
    <s v="3 Man-days"/>
    <s v="2 man-days"/>
    <s v="20% faster than creates manual API adapters to communicate with backend,  and helps in mocks integrations before API is ready"/>
    <n v="10"/>
    <s v="send the swagger and screen components to AI tools to gets the adapters and integrations"/>
    <m/>
    <s v="Kareem Shehab"/>
    <m/>
    <s v="No"/>
    <s v="Implemented"/>
    <s v="claude"/>
    <s v="Mohannad Azzi"/>
    <x v="2"/>
    <x v="6"/>
    <s v="This is primarily deterministic engineering/automation work. Standard tooling, reusable components, scripts, policies, or platform capabilities are a better fit than AI-led generation in the current scope."/>
    <s v="Low AI fit in the current form. The requested outcome is primarily deterministic engineering/automation work and is better implemented through standard tooling, templates, policies, or scripts than through AI-led generation."/>
    <s v="Treat this as an automation accelerator, not as a governed AI use case. Use a controlled prompt library or agent to draft commands, templates, checks, or code stubs, but keep execution rule-based, scripted, and human-approved. Only re-submit as an AI use case if the scope is narrowed to analysis, anomaly detection, classification, summarization, or decision support."/>
    <s v="15-30%"/>
    <m/>
    <s v="implelemted"/>
    <m/>
  </r>
  <r>
    <n v="31"/>
    <s v="DCX"/>
    <m/>
    <s v="DCX-AI-004"/>
    <s v="API Contract &amp; Swagger Generator"/>
    <s v="Generate OpenAPI specs from code or vice versa"/>
    <n v="46048"/>
    <s v="Design"/>
    <s v="Backend"/>
    <s v="Documentation"/>
    <s v="10 man days"/>
    <s v="6 man days"/>
    <s v="40% faster than writing the swaggers and services manually"/>
    <n v="3"/>
    <s v="send input and expected output to AI tool to get the swagger interfaces and service,"/>
    <m/>
    <s v="Ahmed Mashaly"/>
    <m/>
    <s v="No"/>
    <s v="Implemented"/>
    <s v="claude"/>
    <s v="Mohannad Azzi"/>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30-40%"/>
    <m/>
    <s v="implelemted"/>
    <m/>
  </r>
  <r>
    <n v="32"/>
    <s v="DCX"/>
    <m/>
    <s v="DCX-AI-005"/>
    <s v="Form &amp; Validation Generator"/>
    <s v="Generate complex forms with validation &amp; error messages"/>
    <n v="46048"/>
    <s v="Development"/>
    <s v="Frontend"/>
    <s v="UX Components"/>
    <s v="5 Man-Days"/>
    <s v="4 man days"/>
    <s v="30% faster, generates all required and validations for input fileds and components in frontend"/>
    <n v="3"/>
    <s v="write proper pormpt to AI to gets the valid and all validations for inputs with full description for each input what is the expected results with samples"/>
    <m/>
    <s v="Ahmad Shaltouny"/>
    <m/>
    <s v="No"/>
    <s v="Implemented"/>
    <s v="claude"/>
    <s v="Mohannad Azzi"/>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20-30%"/>
    <m/>
    <s v="implelemted"/>
    <m/>
  </r>
  <r>
    <n v="33"/>
    <s v="DCX"/>
    <m/>
    <s v="DCX-AI-006"/>
    <s v="Error Handling &amp; Logging Standardizer"/>
    <s v="Inject unified logging &amp; exception handling"/>
    <n v="46048"/>
    <s v="Development"/>
    <s v="Backend"/>
    <s v="Observability"/>
    <s v="2 Man-days"/>
    <s v="1 man day"/>
    <s v="10% faster, which generates generals logger and exception handler for APIs to collect all required for debugging if any issues appears"/>
    <n v="5"/>
    <s v="write proper prompt to AI to get all possible data and enhancement from frauds and secure all request sent from frontend, also to get the needed info for debugging"/>
    <m/>
    <s v="Mohannad Azzi"/>
    <m/>
    <s v="No"/>
    <s v="Implemented"/>
    <s v="claude"/>
    <s v="Mohannad Azzi"/>
    <x v="2"/>
    <x v="6"/>
    <s v="This is primarily deterministic engineering/automation work. Standard tooling, reusable components, scripts, policies, or platform capabilities are a better fit than AI-led generation in the current scope."/>
    <s v="Low AI fit in the current form. The requested outcome is primarily deterministic engineering/automation work and is better implemented through standard tooling, templates, policies, or scripts than through AI-led generation."/>
    <s v="Treat this as an automation accelerator, not as a governed AI use case. Use a controlled prompt library or agent to draft commands, templates, checks, or code stubs, but keep execution rule-based, scripted, and human-approved. Only re-submit as an AI use case if the scope is narrowed to analysis, anomaly detection, classification, summarization, or decision support."/>
    <s v="10-20%"/>
    <m/>
    <s v="implelemted"/>
    <m/>
  </r>
  <r>
    <n v="34"/>
    <s v="DCX"/>
    <m/>
    <s v="DCX-FIFS-AI-01"/>
    <s v="Microservices Dependency Mapper"/>
    <s v="AI that analyzes service interactions, API calls, and data flows to automatically generate microservices dependency graphs and identify potential bottlenecks"/>
    <s v="TBD"/>
    <s v="Architecture"/>
    <s v="System Design"/>
    <s v="Architecture Visualization"/>
    <s v="12-15 hours per architecture review (manual mapping)"/>
    <s v="2-3 hours (AI-generated dependency maps)"/>
    <s v="80% reduction in architecture documentation time; better optimization insights"/>
    <s v="TBD"/>
    <s v="Run analysis on production/log data; validate with architects; identify optimization opportunities"/>
    <s v="Essential for complex microservices environments"/>
    <s v="Architects, Tech Leads"/>
    <s v="Supports performance optimization efforts"/>
    <m/>
    <s v="Planned"/>
    <m/>
    <s v="Mohannad Azzi"/>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60%"/>
    <m/>
    <s v="End of May"/>
    <m/>
  </r>
  <r>
    <n v="35"/>
    <s v="DCX"/>
    <m/>
    <s v="DCX-FIFS-AI-02"/>
    <s v="Regulatory Compliance Checker"/>
    <s v="AI-powered scanning of code and configuration files to identify potential regulatory compliance issues (GDPR, PCI-DSS, SOX) before deployment"/>
    <s v="TBD"/>
    <s v="Testing"/>
    <s v="Compliance QA Testing"/>
    <s v="Regulatory Validation"/>
    <s v="8-10 hours per release (manual compliance reviews)"/>
    <s v="1-2 hours per release (AI-assisted compliance scanning)"/>
    <s v="80% reduction in compliance review time; reduced regulatory risk"/>
    <s v="TBD"/>
    <s v="Integrate with CI/CD pipeline; define compliance rules database; AI flags potential violations for human review"/>
    <s v="Proactive compliance reduces audit findings and remediation costs"/>
    <s v="Compliance Team, Developers"/>
    <s v="Critical for FinTech regulatory environment"/>
    <s v="Yes"/>
    <s v="Planned"/>
    <s v="Microsoft Copilot "/>
    <s v="Mohannad Azzi"/>
    <x v="0"/>
    <x v="0"/>
    <s v="Well-defined compliance QA use case. AI scans code and configs for GDPR/PCI-DSS/SOX violations before deployment. Effort from 8–10 hours to 1–2 hours per release (80%). Owners identified (Compliance Team, Developers), tool confirmed (Copilot), CI/CD integration is the right delivery model. No blocking gaps."/>
    <s v="High feasibility. Code scanning for compliance patterns is a reliable AI use case. Risk: AI may produce false positives on complex data-handling patterns. Mitigation: compliance team validates all AI-flagged items before blocking a release; maintain false-positive log to tune rules."/>
    <s v="1) Define compliance rule database: GDPR data handling, PCI-DSS cardholder data, SOX financial control patterns. 2) Integrate AI compliance scanner into CI/CD as a quality gate. 3) AI flags potential violations with severity and regulatory reference. 4) Developer addresses or documents exception. 5) Compliance team reviews flagged items before release approval. 6) KPI: compliance review time per release; regulatory findings in production."/>
    <s v="70-80%"/>
    <m/>
    <s v="End of May"/>
    <m/>
  </r>
  <r>
    <n v="36"/>
    <s v="DCX"/>
    <m/>
    <s v="DCX-FIFS-AI-03"/>
    <s v="API Contract Testing Generator"/>
    <s v="AI that analyzes OpenAPI/Swagger specifications and automatically generates comprehensive contract tests, including edge cases and negative scenarios"/>
    <s v="TBD"/>
    <s v="Testing"/>
    <s v="API Testing"/>
    <s v="Contract Testing"/>
    <s v="4-6 hours per API (manual test creation)"/>
    <s v="1-2 hours (AI-generated test suite)"/>
    <s v="70% faster API testing; improved test coverage"/>
    <s v="TBD"/>
    <s v="Feed API specifications to AI; review generated tests; integrate with CI/CD"/>
    <s v="Ensures API reliability in microservices architecture"/>
    <s v="QA Engineers, API Developers"/>
    <s v="Supports API-first development"/>
    <m/>
    <m/>
    <m/>
    <s v="Mohannad Azzi"/>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s v="60-70%"/>
    <m/>
    <s v="End of May"/>
    <m/>
  </r>
  <r>
    <n v="37"/>
    <s v="DCX"/>
    <m/>
    <s v="DCX-FIFS-AI-04"/>
    <s v="Accessibility Compliance Checker"/>
    <s v="AI that scans frontend code and UI components for accessibility issues (WCAG 2.1 compliance) and suggests fixes for users with disabilities"/>
    <s v="TBD"/>
    <s v="Development"/>
    <s v="Frontend"/>
    <s v="Accessibility"/>
    <s v="4-6 hours per screen (manual accessibility testing)"/>
    <s v="1-2 hours (AI-assisted scanning + fixes)"/>
    <s v="70% faster accessibility compliance; improved inclusive design"/>
    <s v="TBD"/>
    <s v="Define WCAG standards; AI scans components; developers implement fixes; validate with tools"/>
    <s v="Ensures applications are accessible to all users"/>
    <s v="Frontend Developers, UX Designers"/>
    <s v="Increasing regulatory focus on digital accessibility"/>
    <s v="Yes"/>
    <s v="Planned"/>
    <s v="Microsoft Copilot "/>
    <s v="Mohannad Azzi"/>
    <x v="0"/>
    <x v="0"/>
    <s v="Clear accessibility compliance use case. AI scans frontend code for WCAG 2.1 issues and suggests fixes. Effort from 4–6 hours to 1–2 hours per screen (70%). Owners identified, tool confirmed (Copilot). Note: AI is for preliminary scanning — formal validation with screen readers remains mandatory."/>
    <s v="High feasibility. WCAG pattern matching is well-suited to AI code analysis. Risk: AI may miss dynamic accessibility issues (focus management, ARIA live regions under interaction). Mitigation: AI is a pre-review gate; formal accessibility testing with assistive technology remains required before release."/>
    <s v="1) Define WCAG 2.1 AA rule set for scanning context. 2) AI scans component code for: contrast issues, missing ARIA labels, keyboard focus gaps, semantic HTML violations. 3) Developer implements AI-suggested fixes. 4) Validate with contrast checker + screen reader (NVDA/VoiceOver). 5) Integrate scanner into PR review workflow. 6) KPI: accessibility issues per screen before vs after; time to WCAG compliance per feature."/>
    <s v="40-50%"/>
    <m/>
    <s v="end of april"/>
    <m/>
  </r>
  <r>
    <n v="38"/>
    <s v="DCX"/>
    <m/>
    <s v="DCX-FIFS-AI-05"/>
    <s v="Release Notes Generator"/>
    <s v="AI that analyzes commits, PR descriptions, and Jira tickets to automatically generate comprehensive, user-friendly release notes"/>
    <s v="TBD"/>
    <s v="Deployment"/>
    <s v="Documentation"/>
    <s v="Release Management"/>
    <s v="2-3 hours per release (manual compilation)"/>
    <s v="0.5 hours (AI-generated draft + review)"/>
    <s v="75% faster release documentation; more consistent communication"/>
    <s v="TBD"/>
    <s v="Integrate with version control and project management; AI categorizes changes; PM reviews"/>
    <s v="Improves stakeholder communication"/>
    <s v="Release Managers, PMs"/>
    <s v="Reduces manual overhead in releases"/>
    <m/>
    <s v="Planned"/>
    <m/>
    <s v="Mohannad Azzi"/>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s v="60-70%"/>
    <m/>
    <s v="end of april"/>
    <m/>
  </r>
  <r>
    <n v="39"/>
    <s v="DCX"/>
    <m/>
    <s v="DCX-FIFS-AI-06"/>
    <s v="Migration Script Generator"/>
    <s v="AI that analyzes source and target database schemas and automatically generates data migration scripts with transformation logic"/>
    <s v="TBD"/>
    <s v="Development"/>
    <s v="Database"/>
    <s v="Data Migration"/>
    <s v="8-12 hours per migration (manual script writing)"/>
    <s v="2-3 hours (AI-generated scripts + validation)"/>
    <s v="75% faster migration script development; reduced errors"/>
    <s v="TBD"/>
    <s v="Provide source/target schemas; AI generates transformation logic; test thoroughly"/>
    <s v="Essential for system upgrades and cloud migrations"/>
    <s v="Database Developers"/>
    <s v="Supports modernization initiatives"/>
    <s v="Yes"/>
    <s v="Planned"/>
    <s v="Microsoft Copilot "/>
    <s v="Mohannad Azzi"/>
    <x v="0"/>
    <x v="0"/>
    <s v="Well-scoped database migration use case. AI analyzes source and target schemas and generates migration scripts with transformation logic. Effort from 8–12 hours to 2–3 hours per migration (75%). Owners identified, tool confirmed (Copilot). Ready for pilot in staging environment."/>
    <s v="High feasibility for schema-driven migration script generation. Risk: AI-generated scripts may have incorrect transformation logic for complex business rules in the source schema. Mitigation: mandatory staging environment testing with data validation assertions before any production migration."/>
    <s v="1) Export source and target schema DDL. 2) Feed schemas + business rules to AI. 3) AI generates migration scripts: DDL changes, data transformation, referential integrity handling. 4) DBA reviews transformation logic against business rules. 5) Test migration in staging with representative data. 6) Validate data completeness and integrity post-migration. 7) KPI: script generation time before vs after; migration test cycles needed."/>
    <s v="70-80%"/>
    <m/>
    <s v="End of May"/>
    <m/>
  </r>
  <r>
    <n v="40"/>
    <s v="DCX"/>
    <m/>
    <s v="DCX-FIS-AI-06"/>
    <s v="Deduplication of Customer Data "/>
    <s v="probably a On prem AI Model which can learn and understand the duplicate customers based on the multi-parameter match Example after CMA Enabled Global Onboarding there can be customers Onboarded with Saudi Resident or GCC resident IDs as well as with the Passport from respective home country So this tool can learn the KYC submitted data related to ID , passport details, names , geneter , country of birth and narrow down that the same user onboarded twice. This is more critial by considering enabling global outreach without compromising the Compliance and AML requirements. "/>
    <s v="TBD"/>
    <s v="Analysis"/>
    <s v="Onboarding "/>
    <s v="Onboarding "/>
    <s v="Mutiple Manual checks and decision making is difficult to update or block the customer . probably 5 to 10 mandays end to end process "/>
    <s v="Identification can happen in less than 10 minutes and decisiion making can happen in less than an hour"/>
    <s v="Compliance and regulatory requirements_x000a_Avoid regulatory issues as well as penaties "/>
    <s v="Around 20 + Capital Market instituions in Saudi and other used cases in Fintech"/>
    <s v="-Define &amp; standardize key data (ID, name, DOB, nationality)_x000a_-Apply fuzzy/ML matching to generate duplicate scores_x000a_-Flag high-confidence matches using thresholds_x000a_-Route to compliance for manual approval_x000a_-Maintain audit trail + monitor accuracy (false positives)  "/>
    <m/>
    <s v="full stake developers "/>
    <m/>
    <s v="Yes"/>
    <s v="Planned"/>
    <s v="Microsoft Copilot "/>
    <s v="Mohannad Azzi"/>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70-80%"/>
    <m/>
    <s v="end of april"/>
    <m/>
  </r>
  <r>
    <n v="41"/>
    <s v="DCX"/>
    <m/>
    <s v="UX-AI-001"/>
    <s v="Develop Figma Plugin - RTL "/>
    <s v="Used AI to support building a plugin script that speeds up the Arabic design conversion process, especially translation-related updates and RTL layout shifting, reducing manual effort and improving consistency."/>
    <n v="46064"/>
    <s v="Design"/>
    <s v="Design"/>
    <s v="UX/UI"/>
    <s v="24 man days"/>
    <s v="7 Man-days"/>
    <s v="EDS includes ~32 components. A manual RTL conversion with translation for this scope typically takes ~25 man-days. Using our AI-supported workflow, we reduced the effort by 71% and completed the task in 6 man-days."/>
    <n v="2"/>
    <s v="write prompt script to AI tool and send current layout to flip into another orientation"/>
    <m/>
    <s v="Designer / Maher Nahla"/>
    <s v="Subscriptions "/>
    <s v="Yes"/>
    <s v="Implemented"/>
    <s v="Claude, ChatGPT, Figma, Figma Make"/>
    <s v="Mohannad Azzi"/>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 to 70%"/>
    <m/>
    <s v="implelemted"/>
    <n v="3"/>
  </r>
  <r>
    <n v="42"/>
    <s v="DCX"/>
    <m/>
    <s v="UX-AI-002"/>
    <s v="Design inspiratoin "/>
    <s v="Use AI to generate design inspiration directions, _x000a_visual references, layout ideas, and alternative concepts based _x000a_on product goals, target users, and brand style. Helps speed up_x000a_ early ideation before moving to high-fidelity design."/>
    <m/>
    <s v="Design"/>
    <s v="Design / Productivity"/>
    <s v="Inspiration &amp; _x000a_Concept Exploration"/>
    <s v="2 Man-days"/>
    <s v="6–8 hrs"/>
    <s v="Faster ideation, more concept options, better exploration quality in less time"/>
    <n v="3"/>
    <s v="Start with clear prompt (goal, audience, brand, platform). Generate 3–5 directions, then shortlist and refine manually in Figma. Validate against design system and business needs."/>
    <m/>
    <s v="UI/UX Designers"/>
    <s v="Subscriptions "/>
    <m/>
    <s v="In Progress"/>
    <m/>
    <s v="Mohannad Azzi"/>
    <x v="0"/>
    <x v="2"/>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40-50%"/>
    <m/>
    <s v="end of april"/>
    <m/>
  </r>
  <r>
    <n v="43"/>
    <s v="DCX"/>
    <m/>
    <s v="UX-AI-003"/>
    <s v="Figma Console MCP"/>
    <s v="Use AI with Figma MCP / Console workflows to read design data, inspect components/variables, and assist in generating scripts or structured outputs (tokens, specs, mappings) that speed up design-system operations and repetitive UI tasks."/>
    <m/>
    <s v="Design"/>
    <s v="Design / Automation"/>
    <s v="Figma Integration / MCP"/>
    <s v="8–16 hrs"/>
    <s v="2–5 hrs"/>
    <s v="Reduced manual inspection and repetitive setup work, faster design-system operations, improved consistency"/>
    <n v="1"/>
    <s v="Define exact task scope (e.g., variables extraction, component mapping, RTL prep). Use controlled prompts. Review all outputs before applying to production files."/>
    <s v="AI + MCP is highly effective when the request is specific and structured."/>
    <s v="UI/UX + Front-end"/>
    <s v="Works best with standardized naming in design system components and variables."/>
    <s v="Yes"/>
    <s v="In Progress"/>
    <s v="Figma MCP"/>
    <s v="Mohannad Azzi"/>
    <x v="0"/>
    <x v="2"/>
    <s v="In-progress use case: AI + Figma MCP to read design data, inspect components/variables, generate structured outputs (tokens, specs, mappings). Effort from 8–16 hours to 2–5 hours. Owners identified, tool confirmed (Figma MCP). Set Selected=Yes."/>
    <s v="High feasibility. Figma MCP provides structured API access to design data — reliable foundation for automating repetitive design-system tasks. Risk: broad Figma access prompts could produce unreliable outputs. Mitigation: tightly controlled prompt library per task type."/>
    <s v="1) Define exact task scope per workflow (variables extraction, component mapping, RTL prep, spec generation). 2) Build controlled prompt library for each task type. 3) Validate all outputs before applying to production Figma files. 4) Log time saved per workflow type. 5) Expand to new task types based on adoption feedback. 6) KPI: time per design-system operation before vs after; adoption count across DCX projects."/>
    <s v="60-70%"/>
    <m/>
    <s v="end of april"/>
    <m/>
  </r>
  <r>
    <n v="44"/>
    <s v="DCX"/>
    <m/>
    <s v="UX-AI-004"/>
    <s v="Microcopy &amp; UX Writing"/>
    <s v="Use AI to draft and improve UI microcopy (buttons, errors, empty states, helper text, onboarding text) and provide multiple tone options while keeping clarity, consistency, and usability in focus."/>
    <m/>
    <s v="Design"/>
    <s v="UX Content"/>
    <s v="Microcopy &amp; UX Writing"/>
    <s v="3–6 hrs"/>
    <s v="0.5–2 hrs"/>
    <s v="Faster writing iterations, clearer UX copy, improved tone consistency, easier localization prep"/>
    <s v="5+"/>
    <s v="Provide context (screen purpose, user action, error case, tone). Generate options, then review for product terminology, legal constraints, and brand voice."/>
    <s v="AI accelerates copy ideation and refinement, but domain accuracy and UX context still need human editing."/>
    <s v="UI/UX Designers / Product Team"/>
    <s v="Especially useful for error states and empty states where many variants are needed."/>
    <s v="Yes"/>
    <s v="Implemented"/>
    <m/>
    <s v="Mohannad Azzi"/>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40-50%"/>
    <m/>
    <s v="implelemted"/>
    <m/>
  </r>
  <r>
    <n v="45"/>
    <s v="DCX"/>
    <m/>
    <s v="UX-AI-005"/>
    <s v="UX Testing Support"/>
    <s v="Use AI to help prepare usability testing assets such as test scripts, scenarios, task flows, interview questions, note synthesis, and summary themes. Can also help cluster findings and draft insight summaries."/>
    <m/>
    <s v="Design"/>
    <s v="UX Research"/>
    <s v="Usability Testing Support"/>
    <s v="5-7 Man-days"/>
    <s v="8-12 Hrs"/>
    <s v="Faster test prep and synthesis, improved documentation quality, quicker turnaround for reporting insights"/>
    <n v="2"/>
    <s v="Feed AI anonymized notes only. Use it for drafting and clustering, then validate findings manually. Keep raw evidence and decision traceability."/>
    <s v="AI is valuable in synthesis support, but should not replace researcher judgment."/>
    <s v="UX Researchers / UI/UX Designers"/>
    <s v="Avoid uploading sensitive user data. Human review required for final findings and recommendations."/>
    <s v="Yes"/>
    <s v="Planned"/>
    <s v="Figma MCP, Testing tools "/>
    <s v="Mohannad Azzi"/>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60-70%"/>
    <m/>
    <s v="End of May"/>
    <m/>
  </r>
  <r>
    <n v="46"/>
    <s v="DCX"/>
    <m/>
    <s v="UX-AI-006"/>
    <s v="Accessibility Review Support"/>
    <s v="Use AI as an assistant to review screens/components for accessibility considerations (contrast issues, hierarchy, labels, focus states, semantic clarity, keyboard flow assumptions) and generate improvement checklists before formal QA."/>
    <m/>
    <s v="Design"/>
    <s v="Quality &amp; Compliance"/>
    <s v="Accessibility Support"/>
    <s v="4–8 hrs"/>
    <s v="1–3 hrs"/>
    <s v="Earlier detection of accessibility issues, better design quality, reduced rework before development"/>
    <m/>
    <s v="Use AI for preliminary review only. Validate with actual tools (contrast checkers, screen-reader testing) and platform guidelines."/>
    <s v="AI is useful for checklist-driven accessibility reviews, but real validation tools are still mandatory."/>
    <s v="UI/UX Designers / QA"/>
    <s v="Great for pre-handoff checks; not a replacement for WCAG-based testing tools."/>
    <s v="Yes"/>
    <s v="Planned"/>
    <s v="ChatGPT Vision_x000a_Gemini Vision_x000a_Figma AI"/>
    <s v="Mohannad Azzi"/>
    <x v="0"/>
    <x v="0"/>
    <s v="Well-scoped accessibility review use case. AI reviews screens/components for contrast, hierarchy, label, focus, and semantic issues and generates improvement checklists before formal QA. Effort from 4–8 hours to 1–3 hours. Owners named, tools confirmed (ChatGPT Vision, Gemini Vision, Figma AI). Governance caveat already captured."/>
    <s v="High feasibility as a pre-QA review gate. Risk: AI vision models may miss dynamic accessibility issues that only manifest under interaction. Mitigation: AI review is supplementary early-warning gate, not a replacement for formal accessibility testing."/>
    <s v="1) Export screen/component screenshots and code for AI review. 2) AI checks: contrast ratios, ARIA labels, focus order, semantic HTML, keyboard flow assumptions. 3) AI generates improvement checklist with severity ratings. 4) Designer implements priority items. 5) Validate with contrast checker + screen reader before QA sign-off. 6) KPI: accessibility issues detected pre-QA vs post-QA; rework cycles reduced."/>
    <s v="20-30%"/>
    <m/>
    <s v="End of May"/>
    <m/>
  </r>
  <r>
    <n v="47"/>
    <s v="DCX"/>
    <m/>
    <s v="UX-AI-007"/>
    <s v="Interaction and Prototyping"/>
    <s v="Using AI to assists with creating interactions and live prototype for flows(Web/App)"/>
    <m/>
    <s v="Design"/>
    <s v="UI "/>
    <s v="UI and Interaction"/>
    <s v="3 Man-days"/>
    <s v="1 day"/>
    <s v="Less production cost"/>
    <n v="1"/>
    <s v="Using AI to assists with creating interactions and live prototype for flows(Web/App)"/>
    <m/>
    <s v="Interaction designers / UI/UX Designers"/>
    <s v="Need Subscriptions "/>
    <s v="Yes"/>
    <s v="Implemented"/>
    <s v="Figma , Figma Make, Framer"/>
    <s v="Mohannad Azzi"/>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60%"/>
    <m/>
    <s v="implelemted"/>
    <m/>
  </r>
  <r>
    <n v="48"/>
    <s v="DCX"/>
    <m/>
    <s v="UX-AI-008"/>
    <s v="Generate Images &amp; Videos"/>
    <s v="Using AI to generate images &amp; videos that help to create a professional video "/>
    <m/>
    <s v="Design"/>
    <s v="UI "/>
    <s v="UI Motion Design"/>
    <s v="5 Man-Days"/>
    <s v="2 days"/>
    <s v="Less production cost"/>
    <s v="5+"/>
    <s v="Using AI to generate images &amp; videos that help to create a professional video "/>
    <m/>
    <s v="Interaction designers / UI/UX Designers"/>
    <s v="Need Subscriptions "/>
    <s v="No"/>
    <s v="Implemented"/>
    <s v="Figma, Framer, After Effect, Freepik"/>
    <s v="Mohannad Azzi"/>
    <x v="2"/>
    <x v="8"/>
    <s v="Content-generation here is too broad and weakly differentiated for governed enterprise adoption. _x000a_It lacks a controlled business case, repeatable delivery model, and clear assurance boundaries."/>
    <s v="Low AI fit in the current form. _x000a_The requested outcome is primarily deterministic engineering/automation work and is better implemented through standard tooling, templates, policies, or scripts than through AI-led generation."/>
    <s v="Use a controlled prompt library or content-generation agent only for internal draft assets such as placeholders, storyboards, or scripts. Do not position this as a governed AI use case until there is a bounded business problem, measurable value, IP policy, and customer-acceptable delivery boundary."/>
    <s v="20-30%"/>
    <m/>
    <s v="implelemted"/>
    <m/>
  </r>
  <r>
    <n v="49"/>
    <s v="DCX"/>
    <m/>
    <s v="DCX-BA-002"/>
    <s v="AI Requirement Gap &amp; Conflict Detection"/>
    <s v="AI tool used to compare BRD, FSD, and UI designs to detect inconsistencies, missing fields, duplicated rules, or conflicting workflows."/>
    <n v="46079"/>
    <s v="Analysis "/>
    <s v="Quality Assurance Enhancement"/>
    <s v="Automated Documentation Review"/>
    <s v="2–3 days manual comparison"/>
    <s v="Initial gap analysis in 1–2 hours_x000a__x000a_BA validates flagged items"/>
    <s v="Reduced production defects_x000a_Faster UAT cycle_x000a_Early detection of logic conflicts"/>
    <s v="Pilot (BA + Solution Architect)"/>
    <s v="Upload sanitized documents only_x000a_AI output to be reviewed manually_x000a_Maintain issue log tracking"/>
    <s v="AI reduces oversight risk but cannot fully interpret business context without human review."/>
    <s v="BA Lead / Solution Architect"/>
    <s v="Need integration with document repository"/>
    <s v="Yes"/>
    <s v="Planned"/>
    <m/>
    <s v="Mohannad Azzi"/>
    <x v="0"/>
    <x v="0"/>
    <s v="Strong BA quality gate. AI compares BRD, FSD, and UI designs to detect inconsistencies, missing fields, duplicate rules, and conflicting workflows. Effort from 2–3 days to 1–2 hours. Owner named (BA Lead / Solution Architect). Clear governance: sanitized docs, manual review, issue log. Ready for pilot."/>
    <s v="High feasibility. Document comparison and conflict detection is a reliable LLM pattern. Risk: AI may flag false conflicts where intentional design decisions created differences. Mitigation: BA reviews all flagged conflicts with the originating domain expert before raising as issues."/>
    <s v="1) Upload sanitized BRD, FSD, and UI design specs. 2) AI performs cross-document comparison: missing fields, conflicting rules, terminology inconsistencies, workflow gaps. 3) BA reviews AI-generated conflict list with Solution Architect. 4) Confirmed conflicts logged in issue tracker with source references. 5) KPI: conflicts detected pre-UAT vs post-UAT; issue detection shift-left rate."/>
    <s v="50-60%"/>
    <m/>
    <s v="end of april"/>
    <m/>
  </r>
  <r>
    <n v="50"/>
    <s v="DCX"/>
    <m/>
    <m/>
    <s v="Signup Workflow"/>
    <s v="Develop a user interface for signup, including generating UI, Integration, _x000a_generation validation rules, based on an existing project, _x000a_leveraging an existing design system compnents"/>
    <n v="46084"/>
    <s v="Development"/>
    <s v="Frontend"/>
    <s v="UI"/>
    <m/>
    <m/>
    <s v="30% faster, generates screen using AI instead of writing components manually"/>
    <s v="1 Developer"/>
    <s v="write proper prompt with screen shot from Figma to create the UI screen "/>
    <m/>
    <s v="Waleed Hussien"/>
    <m/>
    <s v="No"/>
    <s v="In Progress"/>
    <s v="Anthropic Claude Opus"/>
    <s v="Mohannad Azzi"/>
    <x v="2"/>
    <x v="6"/>
    <s v="This is primarily deterministic engineering/automation work. Standard tooling, reusable components, scripts, policies, or platform capabilities are a better fit than AI-led generation in the current scope."/>
    <s v="Low AI fit in the current form. The requested outcome is primarily deterministic engineering/automation work and is better implemented through standard tooling, templates, policies, or scripts than through AI-led generation."/>
    <s v="Treat this as an automation accelerator, not as a governed AI use case. Use a controlled prompt library or agent to draft commands, templates, checks, or code stubs, but keep execution rule-based, scripted, and human-approved. Only re-submit as an AI use case if the scope is narrowed to analysis, anomaly detection, classification, summarization, or decision support."/>
    <s v="20-30%"/>
    <m/>
    <s v="end of april"/>
    <m/>
  </r>
  <r>
    <n v="51"/>
    <s v="EAS"/>
    <s v="EPCS"/>
    <s v="EPCS-AI-SPM-001"/>
    <s v="Schema Design and Data Modeling"/>
    <s v="AI assistance to design normalized relational schema for contract sheet system (entities, keys, relationships, indexes)"/>
    <s v="2026-03-01"/>
    <s v="Design"/>
    <s v="Design"/>
    <s v="Data Modeling"/>
    <s v="16H"/>
    <n v="8"/>
    <s v="Faster schema design and fewer review cycles; improves data quality and reduces rework"/>
    <n v="6"/>
    <s v="Provide business entities, attributes, and relationships; AI drafts ERD and table definitions; DBA reviews and adjusts for Oracle/APEX constraints."/>
    <s v="AI accelerates first draft; human review ensures platform fit"/>
    <s v="Ahmed Shaheen"/>
    <s v="Requires access to Oracle APEX schema standards and naming conventions"/>
    <s v="Yes"/>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8"/>
    <m/>
    <s v="Scale in Q2-Q3 2026"/>
    <m/>
  </r>
  <r>
    <n v="52"/>
    <s v="EAS"/>
    <s v="EPCS"/>
    <s v="EPCS-AI-SPM-002"/>
    <s v="Architecture Documentation"/>
    <s v="AI assistance designing  a structured business model and data architecture for managing project milestones, revenues, costs, and actuals with the specific requirements"/>
    <s v="2026-03-01"/>
    <s v="Analysis"/>
    <s v="Requirements Analysis"/>
    <s v="Architecture Documentation"/>
    <s v="24H"/>
    <n v="16"/>
    <s v="Standardized architecture docs; reduces analysis effort and speeds approval"/>
    <n v="7"/>
    <s v="Provide requirements; AI generates entity model and documentation; architect reviews and simplifies."/>
    <s v="Improves consistency and speeds documentation"/>
    <s v="Ahmed Shaheen"/>
    <s v="Requires architecture templates and naming conventions"/>
    <s v="Yes"/>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8"/>
    <m/>
    <s v="Scale in Q2-Q3 2026"/>
    <m/>
  </r>
  <r>
    <n v="53"/>
    <s v="EAS"/>
    <s v="EPCS"/>
    <s v="EPCS-AI-SPM-004"/>
    <s v="Error Debugging and Handling"/>
    <s v="AI assistance in analyzing error messages and provide detailed explanations when encountering complex errors in APEX applications"/>
    <d v="2026-03-01T00:00:00"/>
    <s v="Development"/>
    <s v="Backend-Frontend"/>
    <s v="Debugging"/>
    <s v="2H"/>
    <n v="0.5"/>
    <s v="Reduces debugging time and improves developer productivity"/>
    <s v="~20"/>
    <s v="Capture error message and code context; AI suggests root cause and fix; developer validates in non-prod before applying."/>
    <s v="AI improves speed; validation still required"/>
    <s v="Ahmed Shaheen"/>
    <s v="All AI-suggested fixes must be tested in non-prod before production deployment"/>
    <s v="Yes"/>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1.5"/>
    <m/>
    <s v="Scale in Q2-Q3 2026"/>
    <m/>
  </r>
  <r>
    <n v="54"/>
    <s v="EAS"/>
    <s v="BFSI"/>
    <s v="EAS-BFSI-BA-01"/>
    <s v="BRD to User Stories Auto-Generation"/>
    <s v="AI converts BRD/SOW documents into structured epics, user stories, and acceptance criteria for LOS, LMS, SME, Mortgage and Cards projects."/>
    <s v="02/26/2026"/>
    <s v="Analysis"/>
    <s v="Requirements Engineering"/>
    <s v="User Story Generation"/>
    <s v="8-10 MD per project"/>
    <s v="3-4 MD per project"/>
    <s v="40-60% documentation effort reduction and improved traceability."/>
    <s v="All lending projects"/>
    <s v="Upload BRD/SOW; AI generates structured backlog aligned with templates."/>
    <s v="Standardizes requirement quality across BFSI tower."/>
    <s v="BA Lead - BFSI"/>
    <s v="Requires secure document environment."/>
    <s v="Yes"/>
    <s v="Planned"/>
    <s v="Microsoft Copilot "/>
    <s v="Omar Ibrahim"/>
    <x v="0"/>
    <x v="0"/>
    <s v="Strong BFSI BA accelerator. AI converts BRD/SOW into epics, user stories, and acceptance criteria for LOS/LMS/SME/Mortgage/Cards. Effort from 8–10 MD to 3–4 MD (40–60% reduction). Named owner (BA Lead – BFSI), tool confirmed (Copilot). No blocking gaps."/>
    <s v="High feasibility. BRD-to-user-story conversion is well-proven. Financial domain specificity (LOS, Mortgage) requires BFSI-aware prompt context. Risk: AI-generated acceptance criteria may miss regulatory and compliance constraints specific to banking. Mitigation: BFSI BA lead reviews all generated stories against regulatory requirements before backlog entry."/>
    <s v="1) Upload BRD/SOW (sanitized). 2) Provide BFSI context prompt (domain: LOS/Mortgage, regulatory constraints, acceptance criteria standards). 3) AI generates: epics, user stories, acceptance criteria, dependency notes. 4) BA Lead reviews against regulatory requirements. 5) Approved stories enter JIRA/ADO backlog. 6) Pilot: one LOS or Mortgage project BRD. 7) KPI: MD reduction per project; story quality score from delivery team."/>
    <n v="3"/>
    <m/>
    <s v="Pilot in Q2 2026"/>
    <m/>
  </r>
  <r>
    <n v="55"/>
    <s v="EAS"/>
    <s v="BFSI"/>
    <s v="EAS-BFSI-SA-01"/>
    <s v="HLD/LLD Auto Drafting"/>
    <s v="AI generates architecture diagrams, integration flows, sequence diagrams and NFR checklist from BRD and integration inputs."/>
    <s v="02/26/2026"/>
    <s v="Design"/>
    <s v="Architecture"/>
    <s v="HLD/LLD Generation"/>
    <s v="12-15 MD"/>
    <s v="6-8 MD"/>
    <s v="30-50% faster design cycle and reduced architecture review iterations."/>
    <s v="All integration-heavy programs"/>
    <s v="Provide structured requirements and integration inventory."/>
    <s v="Improves governance and architectural consistency."/>
    <s v="Solution Architecture Lead"/>
    <s v="Needs predefined templates."/>
    <s v="Yes"/>
    <s v="Planned"/>
    <s v="Microsoft Copilot "/>
    <s v="Omar Ibrahim"/>
    <x v="0"/>
    <x v="0"/>
    <s v="Strong architecture design accelerator. AI generates architecture diagrams, integration flows, sequence diagrams, and NFR checklists from BRD and integration inputs. Effort from 12–15 MD to 6–8 MD (30–50% reduction). Named owner (Solution Architecture Lead), tool confirmed (Copilot). Pilot: one integration-heavy BFSI program."/>
    <s v="High feasibility for diagram and documentation drafting. Risk: AI may propose inappropriate patterns for regulated banking environments. Mitigation: mandatory Architecture Review Board sign-off on all AI-generated architecture before baselining."/>
    <s v="1) Provide BRD and integration inventory (systems, APIs, data flows). 2) AI generates: HLD diagram, integration blueprint, sequence diagrams, NFR checklist. 3) Solution Architect reviews against banking environment constraints. 4) Architecture Review Board sign-off. 5) Baseline approved artifacts. 6) Pilot: one integration-heavy BFSI program. 7) KPI: design cycle time before vs after; review iterations needed."/>
    <n v="3"/>
    <m/>
    <s v="Pilot in Q2 2026"/>
    <m/>
  </r>
  <r>
    <n v="56"/>
    <s v="EAS"/>
    <s v="BFSI"/>
    <s v="EAS-BFSI-DM-01"/>
    <s v="Delivery Margin &amp; Resource Optimization Engine"/>
    <s v="AI analyzes rate cards, MD allocation, and burn rate to predict margin impact and recommend resource optimization across towers."/>
    <s v="02/26/2026"/>
    <s v="Monitoring &amp; Control"/>
    <s v="Delivery Excellence"/>
    <s v="Cost &amp; Margin Optimization"/>
    <s v="Manual financial analysis per project"/>
    <s v="Automated predictive margin modeling"/>
    <s v="5-8% margin improvement and 10-15% resource optimization."/>
    <s v="Strategic BFSI accounts (ARB, Banking clients)"/>
    <s v="Integrate PAS sheets and costing catalogues."/>
    <s v="Protects profitability while improving delivery efficiency."/>
    <s v="Delivery Management Head"/>
    <s v="Requires access to financial sheets."/>
    <s v="Yes"/>
    <s v="Planned"/>
    <s v="Microsoft Copilot "/>
    <s v="Omar Ibrahim"/>
    <x v="0"/>
    <x v="0"/>
    <s v="Strong delivery excellence use case. AI analyzes rate cards, MD allocation, and burn rate to predict margin impact and recommend resource optimization. Outcome: 5–8% margin improvement, 10–15% resource optimization. Named owner (Delivery Management Head), tool confirmed (Copilot). Pilot: 2–3 accounts. No blocking gaps."/>
    <s v="High feasibility for margin modeling and optimization recommendations. Risk: AI recommendations may not account for contractual constraints or client-relationship implications of resource changes. Mitigation: Delivery Management Head reviews and approves all resource optimization actions before execution."/>
    <s v="1) Integrate PAS sheets and costing catalogues as AI input. 2) AI analyzes: rate card vs allocation, burn rate trends, margin variance per project. 3) AI generates: margin impact forecast, over/under-allocation flags, optimization recommendations. 4) Delivery Management Head reviews recommendations. 5) Approved actions implemented. 6) Pilot: 2–3 accounts. 7) KPI: margin % improvement; resource utilization before vs after."/>
    <n v="2"/>
    <m/>
    <s v="Pilot in Q2 2026"/>
    <m/>
  </r>
  <r>
    <n v="57"/>
    <s v="EAS"/>
    <s v="EPCS"/>
    <s v="EPCS-AI-ECM-003"/>
    <s v="AI-Assisted Excel Validation &amp; CSV Conversion Tool"/>
    <s v="A Windows desktop application built using Python and Tkinter with AI assistance (GitHub Copilot) to validate, transform, and convert Excel data into structured CSV files with configurable business rules."/>
    <d v="2026-03-02T00:00:00"/>
    <s v="Development"/>
    <s v="Process Automation"/>
    <s v="Data Validation &amp; Transformation"/>
    <s v="24H"/>
    <s v="8H"/>
    <s v="Reduces manual data validation effort, minimizes human errors, improves data quality, accelerates data migration processes, and ensures consistency across datasets."/>
    <n v="3"/>
    <s v="Prepare Excel input with defined structure, configure validation rules (manually or via Excel/JSON), run validation, review errors, and export valid data to CSV."/>
    <s v="AI significantly accelerates development of internal tools, especially for data-heavy processes, and enables rapid prototyping with high-quality output."/>
    <s v="Ahmed Shaheen"/>
    <s v="Can be enhanced with database integration or API-based validation for real-time processing."/>
    <s v="Yes"/>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16"/>
    <m/>
    <s v="Scale in Q2-Q3 2026"/>
    <m/>
  </r>
  <r>
    <n v="58"/>
    <s v="EAS"/>
    <s v="ERP"/>
    <s v="ORACLE-AI-001"/>
    <s v="Create Qualification Questions"/>
    <s v="You can use Generative AI to suggest questions on topics such as sustainability, governance, financial viability, and various supplier risks."/>
    <n v="45949"/>
    <s v="Analysis / Activation"/>
    <s v="Platform AI Feature"/>
    <s v="Procurement"/>
    <n v="4"/>
    <n v="1"/>
    <s v="Reduces qualification question creation time and improves supplier evaluation consistency"/>
    <m/>
    <s v="Activate AI qualification feature in Oracle Fusion Procurement tenant; procurement lead reviews and approves generated questions."/>
    <s v="Built-in Oracle AI feature; minimal setup required for activation"/>
    <s v="Reham Ibrahim"/>
    <s v="Built-in Oracle Fusion Cloud feature; no custom development required"/>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3"/>
    <m/>
    <s v="Q2 2026"/>
    <m/>
  </r>
  <r>
    <n v="59"/>
    <s v="EAS"/>
    <s v="ERP"/>
    <s v="ORACLE-AI-002"/>
    <s v="Discover New Suppliers"/>
    <s v="Use generative Artificial Intelligence (AI) to discover suppliers who may or may not be currently registered but possess the capability to provide goods and services for your business. If you like a recommendation, you can register the supplier and invite them to participate in the negotiation."/>
    <n v="45949"/>
    <s v="Analysis / Activation"/>
    <s v="Platform AI Feature"/>
    <s v="Procurement"/>
    <n v="8"/>
    <n v="2"/>
    <s v="Accelerates supplier discovery and broadens sourcing options"/>
    <m/>
    <s v="Activate Supplier Discovery AI in Oracle Fusion Procurement; configure search criteria and compliance filters."/>
    <s v="Built-in Oracle AI feature; enables efficient supplier sourcing"/>
    <s v="Reham Ibrahim"/>
    <s v="Built-in Oracle Fusion Cloud feature; validate against Nitaqat/SASO compliance"/>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n v="6"/>
    <m/>
    <s v="Q2 2026"/>
    <m/>
  </r>
  <r>
    <n v="60"/>
    <s v="EAS"/>
    <s v="ERP"/>
    <s v="ORACLE-AI-003"/>
    <s v="The Supplier Negotiation Details Agent"/>
    <s v="The Negotiation Status Advisor agent provides users with real-time access to the status and details of their supplier negotiations directly through an AI chat interface, without requiring involvement from the procurement team or buyers."/>
    <n v="45949"/>
    <s v="Analysis / Activation"/>
    <s v="Platform AI Feature"/>
    <s v="Procurement"/>
    <n v="3"/>
    <n v="1"/>
    <s v="Reduces procurement team query workload and enables real-time negotiation visibility"/>
    <m/>
    <s v="Activate Negotiation Status Advisor in Oracle Fusion Procurement; configure data access scope and user permissions."/>
    <s v="Built-in Oracle AI agent; improves self-service for negotiation tracking"/>
    <s v="Reham Ibrahim"/>
    <s v="Built-in Oracle Fusion Cloud feature; confirm data sync frequency before go-live"/>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2"/>
    <m/>
    <s v="Q2 2026"/>
    <m/>
  </r>
  <r>
    <n v="61"/>
    <s v="EAS"/>
    <s v="ERP"/>
    <s v="ORACLE-AI-004"/>
    <s v="The Procurement Policy Advisor Agent"/>
    <s v="Provides users with seamless access to procurement policies, allowing them to ask questions about products and services while ordering what they need to get their jobs done."/>
    <n v="45949"/>
    <s v="Analysis / Activation"/>
    <s v="Platform AI Feature"/>
    <s v="Procurement"/>
    <n v="4"/>
    <n v="1"/>
    <s v="Improves procurement policy compliance and reduces policy-related support queries"/>
    <m/>
    <s v="Activate Procurement Policy Advisor in Oracle Fusion; upload and structure procurement policy documents into knowledge base."/>
    <s v="Built-in Oracle AI agent; supports self-service procurement policy guidance"/>
    <s v="Reham Ibrahim"/>
    <s v="Built-in Oracle Fusion Cloud feature; requires procurement policy knowledge base maintenance"/>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3"/>
    <m/>
    <s v="Q2 2026"/>
    <m/>
  </r>
  <r>
    <n v="62"/>
    <s v="EAS"/>
    <s v="ERP"/>
    <s v="ORACLE-AI-005"/>
    <s v="Leave and Absence Analyst - AI Agent"/>
    <s v="The Leave and Absence Analyst is an AI-powered digital assistant that helps you manage all aspects of your time off easily, accurately, and securely_x000a_- Whether you're checking your PTO balance, scheduling time off, donating leave to a colleague, or cashing out unused hours, this agent offers real-time support and guidance_x000a_- Built on Oracles AI Agent framework and powered by large language models (LLMs), the agent understands your natural language queries and responds with accurate, secure information based on your role and privileges"/>
    <n v="45949"/>
    <s v="Analysis / Activation"/>
    <s v="Platform AI Feature"/>
    <s v="HCM"/>
    <n v="3"/>
    <n v="1"/>
    <s v="Reduces HR leave-query ticket volume and improves employee self-service"/>
    <m/>
    <s v="Activate Leave and Absence Analyst agent in Oracle HCM Fusion; configure role-based data access; validate leave balance accuracy."/>
    <s v="Built-in Oracle HCM AI agent; enables employee self-service for time-off management"/>
    <s v="Reham Ibrahim"/>
    <s v="Built-in Oracle HCM feature; requires HR data audit before activation"/>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2"/>
    <m/>
    <s v="Q2 2026"/>
    <m/>
  </r>
  <r>
    <n v="63"/>
    <s v="EAS"/>
    <s v="ERP"/>
    <s v="ORACLE-AI-006"/>
    <s v="Pay Analyst - AI Agent"/>
    <s v="The Pay Analyst is your AI-powered digital assistant for payroll, designed to make payslip access and payroll history transparent and easy for every employee_x000a_- This digital worker enables you to review payslips, analyze key earnings and deductions, and clarify pay-related questionsâall through a secure, conversational interface_x000a_- Built on Oracles AI Agent framework and powered by advanced large language models (LLMs), the agent interprets your natural language questions and delivers accurate, role-based information within your security permissions"/>
    <n v="45949"/>
    <s v="Analysis / Activation"/>
    <s v="Platform AI Feature"/>
    <s v="HCM"/>
    <n v="3"/>
    <n v="1"/>
    <s v="Reduces payroll helpdesk ticket volume and improves employee pay transparency"/>
    <m/>
    <s v="Activate Pay Analyst agent in Oracle HCM Fusion; confirm PDPL-aligned data access controls; pilot with HR and Finance before full rollout."/>
    <s v="Built-in Oracle HCM AI agent; improves employee self-service for payroll queries"/>
    <s v="Reham Ibrahim"/>
    <s v="Built-in Oracle HCM feature; payroll data sensitivity requires strict role-based access"/>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2"/>
    <m/>
    <s v="Q2 2026"/>
    <m/>
  </r>
  <r>
    <n v="64"/>
    <s v="EAS"/>
    <s v="ERP"/>
    <s v="ORACLE-AI-007"/>
    <s v="Best Candidates AI Ranking"/>
    <s v="Recruiters can use the Best Candidates feature to review the recommended best candidates for open job requisitions_x000a_- When the feature is enabled, you can see the Top Recommendations section in job requisitions_x000a_- Candidates are sorted in order of recommendations, and you can refine the list of recommended candidates to review or decide who to invite to apply for a job"/>
    <n v="45949"/>
    <s v="Analysis / Activation"/>
    <s v="Platform AI Feature"/>
    <s v="Recruiting"/>
    <n v="6"/>
    <n v="2"/>
    <s v="Accelerates candidate shortlisting and reduces recruiter screening effort"/>
    <m/>
    <s v="Activate Best Candidates AI in Oracle Recruiting Cloud; HR defines diversity criteria; AI ranking is advisory, not final."/>
    <s v="Built-in Oracle Recruiting AI feature; supports data-driven candidate evaluation"/>
    <s v="Reham Ibrahim"/>
    <s v="Built-in Oracle Recruiting feature; bias monitoring recommended after activation"/>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4"/>
    <m/>
    <s v="Q2 2026"/>
    <m/>
  </r>
  <r>
    <n v="65"/>
    <s v="EAS"/>
    <s v="ERP"/>
    <s v="ORACLE-AI-008"/>
    <s v="Candidate Assistant Q&amp;A"/>
    <s v="You can now answer candidate questions regarding job requisitions or the company using Oracle’s AI Assist, which is powered by Generative AI_x000a_- As a recruiter, all you need to do is define information about the job requisition or company using the features available in Recruiting, and AI Assist will retrieve the answers from these sources and display the response in an engaging and conversational manner_x000a_- This feature is an enhancement over the job- and company-related question intents that were previously used to answer candidate questions"/>
    <n v="45949"/>
    <s v="Analysis / Activation"/>
    <s v="Platform AI Feature"/>
    <s v="Recruiting"/>
    <n v="4"/>
    <n v="1"/>
    <s v="Improves candidate experience and reduces recruiter query handling time"/>
    <m/>
    <s v="Activate Oracle AI Assist in Recruiting Cloud; recruiters populate job requisition and company Q&amp;A content; define content maintenance cadence."/>
    <s v="Built-in Oracle Recruiting AI feature; enhances candidate engagement"/>
    <s v="Reham Ibrahim"/>
    <s v="Built-in Oracle Recruiting feature; requires ongoing content maintenance by recruiting team"/>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3"/>
    <m/>
    <s v="Q2 2026"/>
    <m/>
  </r>
  <r>
    <n v="66"/>
    <s v="EAS"/>
    <s v="ERP"/>
    <s v="ORACLE-AI-009"/>
    <s v="AI Agent for Job Skills Enrichment"/>
    <s v="Enrich job profiles with AI-suggested skills using a new AI agent called Job Skills Enrichment_x000a_- This agent analyzes the job description, job title, skills associated with the job profile, your organization’s skills library, and other relevant HCM transactional data, and suggests new or additional skills that are relevant to the job profile_x000a_- Note: These skill suggestions are added as ‘pending’ (also known as uncurated)"/>
    <n v="45949"/>
    <s v="Analysis / Activation"/>
    <s v="Platform AI Feature"/>
    <s v="HCM"/>
    <n v="4"/>
    <n v="1"/>
    <s v="Enriches job profiles with relevant skills and reduces manual skills curation effort"/>
    <m/>
    <s v="Activate Job Skills Enrichment agent in Oracle HCM; define minimum data quality thresholds; HR reviews AI-suggested skills before approval."/>
    <s v="Built-in Oracle HCM AI agent; supports skills-based talent management"/>
    <s v="Reham Ibrahim"/>
    <s v="Built-in Oracle HCM feature; AI-suggested skills start as uncurated/pending for HR review"/>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3"/>
    <m/>
    <s v="Q2 2026"/>
    <m/>
  </r>
  <r>
    <n v="67"/>
    <s v="EAS"/>
    <s v="ERP"/>
    <s v="ORACLE-AI-010"/>
    <s v="AI Assistance Enhancements For Manager Evaluations In Redwood Performance  Documents"/>
    <s v="Leverage Artificial Intelligence (AI) assistance for manager evaluations in Redwood performance documents_x000a_- with these enhancements: Enable managers to generate development tips for competencies based on manager entered comments, proficiencies, and ratings in addition to the competency name and description_x000a_- Provide feedback to managers if there's insufficient data to generate an overall summary comment to reduce misleading responses"/>
    <n v="45949"/>
    <s v="Analysis / Activation"/>
    <s v="Platform AI Feature"/>
    <s v="HCM"/>
    <n v="4"/>
    <n v="1"/>
    <s v="Accelerates manager evaluation process and improves development tip quality"/>
    <m/>
    <s v="Activate AI Assistance in Redwood Performance Documents; define minimum data quality thresholds for AI generation to trigger."/>
    <s v="Built-in Oracle Performance AI feature; supports competency-based development"/>
    <s v="Reham Ibrahim"/>
    <s v="Built-in Oracle HCM feature; requires minimum evaluation content quality for AI to generate tips"/>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3"/>
    <m/>
    <s v="Q2 2026"/>
    <m/>
  </r>
  <r>
    <n v="68"/>
    <s v="EAS"/>
    <s v="ERP"/>
    <s v="ORACLE-AI-011"/>
    <s v="Intelligent Account Combination Defaulting for Invoices"/>
    <s v="AI-driven feature in Oracle Fusion Cloud Payables that automates the prediction and population of account code combination (distribution) segment value"/>
    <n v="45949"/>
    <s v="Analysis / Activation"/>
    <s v="Platform AI Feature"/>
    <s v="Payables"/>
    <n v="5"/>
    <n v="1"/>
    <s v="Reduces manual account coding time and coding error rate for AP invoices"/>
    <m/>
    <s v="Activate Intelligent Account Combination Defaulting in Oracle Fusion Payables; finance team reviews and approves defaulting rules."/>
    <s v="Built-in Oracle Payables AI feature; automates account code prediction"/>
    <s v="Reham Ibrahim"/>
    <s v="Built-in Oracle Payables feature; monitor AI-defaulted invoices for accuracy during pilot"/>
    <s v="Yes"/>
    <s v="Planned"/>
    <s v="Oracle Fusion AI capabilitie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4"/>
    <m/>
    <s v="Q2 2026"/>
    <m/>
  </r>
  <r>
    <n v="69"/>
    <s v="EAS"/>
    <s v="ERP"/>
    <s v="ORACLE-AI-012"/>
    <s v="Supplier Instruction Knowledge Agent"/>
    <s v="RAG-powered AI agent that ingests supplier user guides and instruction documents, enabling business users to query supplier processes and procurement instructions through a conversational interface."/>
    <n v="45949"/>
    <s v="Development"/>
    <s v="Custom AI Agent"/>
    <s v="Procurement Knowledge"/>
    <n v="6"/>
    <n v="2"/>
    <s v="Reduces supplier instruction query time and improves procurement process self-service"/>
    <m/>
    <s v="Define document scope; build RAG pipeline with document refresh schedule; business users query via chat; ERP owner reviews response accuracy monthly."/>
    <s v="Custom RAG solution; requires document ingestion pipeline and governance"/>
    <s v="Reham Ibrahim"/>
    <s v="Requires document ingestion pipeline, data governance, and version-controlled refresh schedule"/>
    <s v="Yes"/>
    <s v="Planned"/>
    <s v="ChatGPT, Azure OpenAI"/>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4"/>
    <m/>
    <s v="Q2-Q3 2026"/>
    <m/>
  </r>
  <r>
    <n v="70"/>
    <s v="EAS"/>
    <s v="ERP"/>
    <s v="ERP-AI-002"/>
    <s v="AI-Powered Oracle Fusion DM Validation and Generation HDL"/>
    <s v="An AI-powered use case for validating and processing HR data for Oracle Fusion HCM using HCM Data Loader (HDL) format. The solution leverages AI platforms (Claude or ChatGPT) to automatically cleanse, validate, and transform Excel/CSV data into properly formatted HDL files ready for import into Oracle Fusion."/>
    <n v="46090"/>
    <s v="Development"/>
    <s v="Data Processing"/>
    <s v="Data Migration"/>
    <n v="10"/>
    <n v="3"/>
    <s v="•_x0009_Reduces data preparation time by 80-90%_x000a_•_x0009_Eliminates manual errors in HDL file creation_x000a_•_x0009_Ensures data quality and compliance with Oracle standards_x000a_•_x0009_Provides transparent validation and error reporting_x000a_•_x0009_Supports complex multi-object HDL scenarios_x000a_"/>
    <m/>
    <s v="Use AI on approved internal artifacts, then validate outputs by lead engineers or analysts before delivery."/>
    <s v="Reusable across multiple projects with minimal setup"/>
    <s v="Reham Ibrahim"/>
    <s v="Requires Oracle HDL object mappings and mandatory field rules as AI input; HCM specialist validates before import"/>
    <s v="Yes"/>
    <s v="Planned"/>
    <s v="ChatGPT, Claude"/>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7"/>
    <m/>
    <s v="Q2 2026"/>
    <m/>
  </r>
  <r>
    <n v="71"/>
    <s v="EAS"/>
    <s v="ERP"/>
    <s v="ERP-AI-003"/>
    <s v="SQL Query Generation via Claude AI"/>
    <s v="Use AI to generate SQL queries for ERP reports using schema and business inputs"/>
    <s v="27/01/2026"/>
    <s v="Development / Support"/>
    <s v="Productivity Enhancement"/>
    <s v="Reporting Automation"/>
    <n v="6"/>
    <n v="1"/>
    <s v="- 75–87% time reduction_x000a_- 90% error reduction_x000a_- Faster delivery_x000a_- Reduce dependency on experts_x000a_- Improve data accuracy"/>
    <m/>
    <s v="- Provide schema and table structure_x000a_- Define business requirement clearly_x000a_- Validate output before production_x000a_- Store reusable queries"/>
    <s v="- AI enables self-service reporting_x000a_- Scalable across teams_x000a_- Reduces workload_x000a_- Supports faster decision making"/>
    <s v="Hassan Mantawy"/>
    <s v="Requires Oracle schema documentation and approved table/view scope; DBA validation mandatory"/>
    <s v="Yes"/>
    <s v="Planned"/>
    <s v="Claude AI"/>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5"/>
    <m/>
    <s v="Q2 2026"/>
    <m/>
  </r>
  <r>
    <n v="72"/>
    <s v="EAS"/>
    <s v="ERP"/>
    <s v="ERP-AI-004"/>
    <s v="AI-Augmented Oracle HCM Cloud Implementation Strategy"/>
    <s v="This proposal introduces a Knowledge-Based Agent System that serves as an institutional expert across all Oracle HCM implementation phases. The system comprises two foundational components:_x000a_•_x0009_Centralized Knowledge Repository: A structured database containing historical project documentation (BRDs, fit-gap analyses, meeting minutes, MoSCoW prioritizations, future-state process maps, solution designs, technical specifications) and verified government policies from official sources (labor regulations, social insurance requirements, taxation rules, localization standards). Documents are tagged with metadata including industry vertical, public/private sector classification, implemented modules, and country-specific requirements._x000a_•_x0009_AI Agent Layer: A generative AI system trained on the knowledge repository, capable of retrieval-augmented generation (RAG), natural language interaction, document drafting, policy analysis, and predictive risk assessment. The agent operates through defined workflows aligned with implementation methodology phases._x000a_"/>
    <n v="46024"/>
    <s v="Entire Project Phases"/>
    <s v="Productivity Enhancement"/>
    <m/>
    <n v="12"/>
    <n v="5"/>
    <s v="•_x0009_Time saved (estimated): 40% faster project delivery._x000a_•_x0009_Effort reduced: 30-50% reduction in documentation workload._x000a_•_x0009_Quality improvement: 40% fewer defects, 60% improved policy compliance, 35% better requirement completeness._x000a_•_x0009_Reduction in errors or rework._x000a_"/>
    <m/>
    <s v="The system leverages vector database for semantic similarity matching. Documents undergo preprocessing: text extraction, embedding generation using OpenAI or Oracle Cohere models, and metadata tagging._x000a_The AI agent utilizes a large language model (Oracle Generative AI, Azure OpenAI GPT-4, or AWS) configured for retrieval-augmented generation. When queried, the system retrieves top relevant document chunks, injects them as context into the prompt, and generates responses grounded in organizational knowledge._x000a_"/>
    <s v="Faster kickoff, reduced policy research effort, improved proposal quality._x000a__x000a_Faster fit-gap completion, better solution consistency, improved requirement coverage._x000a__x000a_Faster configuration setup, fewer errors, quicker data mapping._x000a__x000a_Faster test preparation, broader coverage, quicker defect resolution, fewer post-go-live issues._x000a__x000a_Faster training preparation, higher adoption, reduced support tickets._x000a__x000a_Faster issue resolution, more optimization opportunities, increased managed services value."/>
    <s v="Hossam Farag"/>
    <s v="Phased program requiring curated historical project assets, metadata discipline, and governed operating model"/>
    <s v="Yes"/>
    <s v="Planned"/>
    <s v="Vector Database, LLM, RAG tools"/>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7"/>
    <m/>
    <s v="Q2-Q3 2026"/>
    <m/>
  </r>
  <r>
    <n v="73"/>
    <s v="EAS"/>
    <s v="ERP"/>
    <s v="ORACLE-AI-013"/>
    <s v="Supplier Aging Report Analysis Agent"/>
    <s v="Custom AI agent that analyzes supplier aging reports and procurement documents, providing context-aware insights on outstanding balances, payment trends, and supplier risk indicators."/>
    <n v="45949"/>
    <s v="Development"/>
    <s v="Custom AI Agent"/>
    <s v="Financial Analysis"/>
    <n v="6"/>
    <n v="2"/>
    <s v="Reduces aging report analysis time and improves supplier risk visibility"/>
    <m/>
    <s v="Clarify document scope; obtain legal/compliance clearance for document ingestion; build RAG pipeline with data residency controls."/>
    <s v="Custom RAG solution; requires compliance clearance and document governance"/>
    <s v="Reham Ibrahim"/>
    <s v="Requires legal/compliance clearance for document ingestion; data residency controls needed"/>
    <s v="Yes"/>
    <s v="Planned"/>
    <s v="ChatGPT, Azure OpenAI"/>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4"/>
    <m/>
    <s v="Q2-Q3 2026"/>
    <m/>
  </r>
  <r>
    <n v="74"/>
    <m/>
    <m/>
    <m/>
    <s v="update code for a specific requirement"/>
    <s v="AI assistance review your code base, suggest changes, _x000a_you try it, AI assistance suggest solutions for errors in execution time."/>
    <m/>
    <s v="Development"/>
    <s v="Backend-Frontend"/>
    <m/>
    <m/>
    <m/>
    <m/>
    <m/>
    <m/>
    <m/>
    <m/>
    <m/>
    <m/>
    <m/>
    <m/>
    <m/>
    <x v="2"/>
    <x v="9"/>
    <s v="The current entry is too generic or under-specified to govern as an AI use case. It needs clear platform context, measurable business value, and a defined delivery path before reconsideration."/>
    <s v="Low AI fit in the current form. The requested outcome is primarily deterministic engineering/automation work and is better implemented through standard tooling, templates, policies, or scripts than through AI-led generation."/>
    <s v="Use generic IDE copilot / prompt / agent assistance as an individual productivity aid only. Do not treat this as a governed AI use case until the platform, owner, workflow, KPI, and expected impact are explicitly defined."/>
    <m/>
    <m/>
    <m/>
    <m/>
  </r>
  <r>
    <n v="75"/>
    <m/>
    <m/>
    <s v="PM-01"/>
    <s v="Project Planning"/>
    <s v="AI-Assisted Project Planning &amp; Scheduling"/>
    <m/>
    <s v="Planning"/>
    <s v="Planning"/>
    <m/>
    <s v="PMs manually estimate timelines using past experience, spreadsheets, and scheduling tools. Takes time depdening upon the size of a project; estimation accuracy varies widely."/>
    <s v="AI models analyze historical project data, resource capacity, and dependencies to generate optimized schedules. Done in hours with scenario simulations."/>
    <s v="40-50% faster planning; data-driven estimates; built-in risk buffering; better resource utilization"/>
    <m/>
    <s v="Historical project data, WBS, resource availability, team capacity, dependency list, project constraints"/>
    <s v="Integrate AI planning tools, MS Project  and Copilot. Feed historical project data to improve model accuracy over time."/>
    <s v="PM"/>
    <m/>
    <m/>
    <m/>
    <m/>
    <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m/>
    <m/>
    <m/>
    <m/>
  </r>
  <r>
    <n v="76"/>
    <m/>
    <m/>
    <s v="PM-02"/>
    <s v="Planning / Execution"/>
    <s v="Intelligent Risk Identification &amp; Mitigation"/>
    <m/>
    <s v="Planning / Execution"/>
    <s v="Planning / Execution"/>
    <m/>
    <s v="Risk workshops take varied time period. Risk registers are manually maintained. Early warning signals are often missed until issues escalate."/>
    <s v="AI continuously scans project signals (schedule, budget, velocity) to flag emerging risks and recommend mitigations proactively."/>
    <s v="Proactive risk management; 30-40% fewer surprises; reduced cost of late-stage rework"/>
    <m/>
    <s v="Project schedule, budget burn data, team velocity, issue logs, stakeholder sentiment, change request history"/>
    <s v="Deploy AI risk engines. Define risk thresholds and escalation protocols to operationalize AI alerts."/>
    <s v="PM"/>
    <m/>
    <m/>
    <m/>
    <m/>
    <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r>
  <r>
    <n v="77"/>
    <s v="ADI"/>
    <m/>
    <s v="ADI-AI-0034"/>
    <s v="Reusable Prompt Library"/>
    <s v="We need a Prompt Engineering library comprising reusable prompts and agents tailored to the different stages of a Secure SDLC. The library should support multiple technologies—primarily Java, .NET, Angular, and Spring Boot—and address key dimensions such as security, code review, best practices, testing, refactoring, and architecture. It should also be designed for easy customization to meet the specific needs of each project."/>
    <s v="1/27/2026"/>
    <s v="Development"/>
    <s v="Backend-Frontend"/>
    <s v="Code Generation"/>
    <m/>
    <m/>
    <s v="1. Standardized AI Usage Across Projects_x000a_2. Faster Developer Onboarding_x000a_3. Improved Code Quality and Security_x000a_4. Increased Development Productivity"/>
    <s v="Many"/>
    <m/>
    <m/>
    <m/>
    <s v="Dependencies:_x000a_- Access to development standards and coding guidelines_x000a_- Security standards and secure coding policies_x000a_- Architecture documentation templates_x000a__x000a_Support Needed:_x000a_- collaboration between architects, developers, and security teams to define high-quality prompts_x000a_- repository or platform to store and manage the prompt library_x000a_- documentation describing prompt usage scenarios_x000a__x000a_Additional Comments:_x000a_The prompt library should be designed with modularity and customization in mind, allowing teams to adapt prompts"/>
    <m/>
    <m/>
    <s v="Target Technologies_x000a_-Java_x000a_- Spring Boot_x000a_- .NET_x000a__x000a_AI Tools_x000a_Github Copilot"/>
    <s v="Ahmed Fadl"/>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m/>
    <m/>
    <m/>
    <m/>
  </r>
  <r>
    <n v="78"/>
    <s v="ADI"/>
    <m/>
    <s v="ADI-AI-0037"/>
    <s v="Migrate old design to new modern design pattern"/>
    <s v="Use AI assistance to analyze existing legacy system designs and architecture documents, then propose and document a modernized design pattern aligned with current enterprise architecture practices."/>
    <s v="1/27/2026"/>
    <s v="Design"/>
    <s v="Design"/>
    <s v="Design modernization - Non code"/>
    <m/>
    <m/>
    <s v="1. Faster Architecture Design Preparation_x000a_2. Consistency Across Design Documents_x000a_3. Faster Modernization Planning"/>
    <m/>
    <s v="1) Analyze the existing COBOL-based ATHS module to understand current business logic, dependencies, input/output structures, and integration points._x000a__x000a_2) Identify candidate components and services for modernization based on business capability, technical complexity, and migration priority._x000a__x000a_3) Define the target modern architecture, including service decomposition, integration approach, data handling, and technology stack alignment._x000a__x000a_4) Use AI tools to assist in understanding legacy code, extracting logic, documenting flows, and suggesting equivalent modern design and code structure._x000a__x000a_5) Migrate the functionality incrementally to the new architecture while preserving business behavior and validation rules._x000a__x000a_6) Validate migrated components through functional testing, comparison with legacy outputs, and integration testing with surrounding systems._x000a__x000a_7) Ensure proper handling of performance, security, logging, and operational support requirements in the modernized solution._x000a__x000a_8) Maintain architect and SME review throughout the process to confirm correctness and avoid misinterpretation of legacy logic._x000a__x000a_9) Document the migrated design, service interfaces, and key transformation decisions for future maintainability._x000a__x000a_10) Establish a phased rollout and fallback approach to reduce migration risk and ensure business continuity."/>
    <m/>
    <s v="Amr Morad"/>
    <s v="Dependencies:_x000a_- Availability of existing architecture documentation such as HLD, LLD, system integration diagrams, technical design document, and code repositories_x000a_- Access to architectural standards and modernization guidelines used by the organization._x000a__x000a_Support Needed:_x000a_- Involvement of solution architects to validate modernization proposals_x000a_- Access to AI tools capable of analyzing architecture documents and suggesting design patterns_x000a_- collaboration with development teams to assess feasibility of proposed designs_x000a__x000a_Additional Remarks/Comments:_x000a_This use case is particularly valuable for organizations maintaining legacy monolithic systems that need to be modernized to support new business requirements and technology platforms."/>
    <s v="Migrate old code written in cobol (ATHS module) to modern archtecture"/>
    <s v="Planned"/>
    <s v="Input Sources_x000a_- Existing HLD and LLD documents_x000a_- Architecture diagrams_x000a_- System documentation_x000a_- Code repositories_x000a__x000a__x000a_Target Architecture Technologies_x000a_- Microservices architecture_x000a_- REST APIs_x000a_- Event-driven integration_x000a__x000a_AI Tools_x000a_Github Copilot"/>
    <s v="Ahmed Fadl"/>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It should be at least 20%"/>
    <s v="It needs Cobol expert + at least 10 days"/>
    <s v="End of June"/>
    <m/>
  </r>
  <r>
    <n v="79"/>
    <s v="ADI"/>
    <m/>
    <s v="ADI-AI-0038"/>
    <s v="NFRs handling (understanding and generation)"/>
    <s v="Understand existing and taking care of NFRs (e.g. performance)"/>
    <s v="1/27/2026"/>
    <s v="Design"/>
    <s v="Design"/>
    <s v="NFRs handling - Non code"/>
    <m/>
    <m/>
    <s v="NFRs handling"/>
    <m/>
    <m/>
    <m/>
    <m/>
    <m/>
    <m/>
    <m/>
    <m/>
    <s v="Ahmed Fadl"/>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It should be at least 20%"/>
    <s v="It needs legacy code experts + at least 10 days"/>
    <m/>
    <m/>
  </r>
  <r>
    <n v="80"/>
    <s v="ADI"/>
    <m/>
    <s v="ADI-AI-0040"/>
    <s v="Microservice Java Development using Spring Boot"/>
    <s v="Develop a reusable prompt library for Java microservices development, aligned with standardized practices, architectural patterns, project structure, and frameworks, within the context of the IBKR project in ARC. The project is currently in progress and dependent on the customer’s timeline, and may require support from Microsoft."/>
    <d v="2026-01-02T00:00:00"/>
    <s v="Development"/>
    <s v="Backend"/>
    <s v="Code Generation"/>
    <m/>
    <m/>
    <s v="Faster delivery with consistent and standardized practices"/>
    <m/>
    <s v="Define the standardized practices, patterns, and mandated frameworks, and develop a reusable prompt library accordingly within the project implementation context"/>
    <s v="Faster delivery with consistent qualities"/>
    <m/>
    <m/>
    <m/>
    <m/>
    <m/>
    <s v="Ahmed Fadl"/>
    <x v="0"/>
    <x v="1"/>
    <s v="Strong engineering case; add owner, toolchain, pilot scope, and measurable KPI."/>
    <s v="High feasibility for AI-assisted microservice development when bounded to scaffolding, API contracts, tests, and documentation under secure coding guardrails. Risk comes from unchecked business-logic generation or weak review discipline."/>
    <s v="1) Define Spring Boot standards, security rules, project structure, and API conventions for IBKR/ARC. 2) Build reusable prompts for controllers, services, DTOs, tests, and docs. 3) Use approved AI assistant in IDE. 4) Enforce peer review, SAST, and CI test gates on every AI-assisted change. 5) Measure cycle-time, rework, and defect escape rate."/>
    <m/>
    <m/>
    <m/>
    <m/>
  </r>
  <r>
    <n v="81"/>
    <s v="ADI"/>
    <m/>
    <s v="ADI-BA-02"/>
    <s v="Gap Analysis Reports"/>
    <s v="Automated current-state vs future-state gap analysis with remediation recommendations"/>
    <d v="2026-01-01T00:00:00"/>
    <s v="Analysis"/>
    <s v="Strategy Analysis"/>
    <s v="Gap Analysis"/>
    <m/>
    <m/>
    <m/>
    <m/>
    <s v="Provide as-is and to-be documentation; AI identifies gaps; BA prioritizes actions"/>
    <s v="Systematic gap identification prevents scope creep"/>
    <s v="Mostafa Alqazaz"/>
    <s v="Requires business context"/>
    <s v="No"/>
    <m/>
    <m/>
    <s v="Ahmed Fadl"/>
    <x v="0"/>
    <x v="1"/>
    <s v="Useful analysis accelerator; missing KPI, owner, tools, and adoption scope."/>
    <s v="High feasibility if as-is and to-be artifacts are available and business context is sufficient. AI is effective for surfacing structured gaps and remediation options, but BA/SME validation remains essential."/>
    <s v="1) Upload current-state and future-state artifacts. 2) Prompt AI to classify gaps by process, data, controls, and technology. 3) Generate remediation recommendations and priority bands. 4) BA/SME validate each gap. 5) Publish approved gap-analysis report and track analysis effort reduction."/>
    <m/>
    <m/>
    <m/>
    <m/>
  </r>
  <r>
    <n v="82"/>
    <s v="ADI"/>
    <m/>
    <s v="ADI-BA-03"/>
    <s v="Process Flow Diagrams"/>
    <s v="Automated BPMN/flowchart generation from process descriptions and business rules"/>
    <d v="2026-01-01T00:00:00"/>
    <s v="Analysis"/>
    <s v="Requirements Analysis"/>
    <s v="Process Modeling"/>
    <m/>
    <m/>
    <m/>
    <m/>
    <s v="Describe business process steps; AI creates BPMN diagrams; Validate with stakeholders"/>
    <s v="Visual models improve stakeholder communication"/>
    <s v="Mostafa Alqazaz"/>
    <s v="Works with structured inputs"/>
    <s v="No"/>
    <m/>
    <m/>
    <s v="Ahmed Fadl"/>
    <x v="0"/>
    <x v="1"/>
    <s v="Promising process-modeling aid; add toolchain, KPI, owner, and output standard."/>
    <s v="High feasibility when process inputs are structured and BPMN/flowchart standards are defined. Risk is over-simplified flows or missing exception paths if narrative inputs are weak."/>
    <s v="1) Capture process narratives, actors, decisions, and exceptions in a template. 2) Use AI to generate BPMN/flowchart draft. 3) Export to approved modeling tool. 4) Validate with stakeholders and BA. 5) Baseline final diagram and measure diagram drafting time before vs after."/>
    <m/>
    <m/>
    <m/>
    <m/>
  </r>
  <r>
    <n v="83"/>
    <s v="ADI"/>
    <m/>
    <s v="ADI-BA-04"/>
    <s v="Data Model Creation"/>
    <s v="AI-assisted entity-relationship diagram and data dictionary generation from requirements"/>
    <d v="2026-01-01T00:00:00"/>
    <s v="Analysis"/>
    <s v="Solution Design"/>
    <s v="Data Modeling"/>
    <m/>
    <m/>
    <s v="1) Define the end-to-end B2B2C flow covering onboarding, station setup, payment initiation (QR/mobile), refunds, and reporting._x000a__x000a_2) Extend Business Portal to support fuel company onboarding, wallet product activation, station management, and role-based access._x000a__x000a_3) Introduce “Business Wallet Collection” product within URPAY and align it with consumer wallet capabilities and regulatory requirements._x000a__x000a_4) Implement station management capabilities including GPS location upload, QR code generation, and station-level user creation with controlled permissions._x000a__x000a_5) Enable multi-channel payment initiation (QR scan and mobile number) with real-time transaction processing._x000a__x000a_6) Design and implement real-time reconciliation covering payments, refunds, and dispute handling._x000a__x000a_7) Ensure secure and compliant transaction processing aligned with PCI-DSS and local regulatory requirements._x000a__x000a_8) Integrate all components (Portal, Wallet, Payment channels, Backend systems) through standardized APIs and orchestration layer._x000a__x000a_9) Implement monitoring, reporting, and analytics for business users covering transactions, settlements, and operational insights._x000a__x000a_10) Leverage AI tools to assist in generating design artifacts, flows, and integration patterns, with mandatory architect validation."/>
    <m/>
    <s v="Describe data entities in requirements; AI generates ERD and attributes; DBA reviews"/>
    <s v="Captures data relationships that might be overlooked"/>
    <s v="Amr Morad"/>
    <s v="Requires technical review"/>
    <s v="Gas Station Payments:_x000a_Highlevel flow: Business onboarding → Wallet GAS Payment product → station/QR setup → dual payment (QR/mobile) → refund approval → reporting. _x000a_Fuel company signs up via NL Business Portal. _x000a_New &quot;Business Wallet Collection&quot; product enabled for URPAY consumer wallets. _x000a_Company uploads station GPS locations; system generates station QR codes. _x000a_Station users created (limited permissions) to initiate payment requests. _x000a_Payment via URPAY QR scan or mobile number request. _x000a_Real-time payment &amp; refund flows with approval steps. _x000a_Comprehensive reporting. _x000a__x000a_This isn't just a payment button. We're building an entire B2B2C ecosystem that includes: _x000a_Business Portal expansion (new services, permissions, reporting) _x000a_New Payment Product in URPAY (regulatory compliance, wallet integration) _x000a_Station Management System (geolocation, QR generation, user roles) _x000a_Real-time Reconciliation Engine (payments + refunds + disputes) _x000a_Multi-channel Integration (QR, mobile number, future NFC) _x000a_Compliance &amp; Security (PCI-DSS, Saudi payment regulations) "/>
    <s v="Planned"/>
    <s v="Input Sources_x000a_- Approved requirements documentations_x000a_- Existing HLD and LLD documents_x000a_- Architecture diagrams_x000a_- System documentation_x000a_- Code repositories_x000a__x000a__x000a_Target Architecture Technologies_x000a_- Microservices architecture_x000a_- REST APIs_x000a_- Event-driven integration_x000a__x000a_AI Tools_x000a_Github Copilot_x000a_"/>
    <s v="Ahmed Fadl"/>
    <x v="0"/>
    <x v="2"/>
    <s v="Good data-modeling aid; add measurable benefit, owner, tool, and review flow."/>
    <s v="High feasibility as an accelerator for ERD and data-dictionary drafts, not as a DBA replacement. Technical review is mandatory because AI may infer incorrect cardinality or naming if requirements are incomplete."/>
    <s v="1) Input entities, business terms, and sample attributes from requirements. 2) Ask AI to draft ERD, relationships, and data dictionary. 3) DBA/architect review cardinality, keys, naming, and normalization. 4) Approve and publish model. 5) Track modeling turnaround time and rework rate."/>
    <s v="It should be at least 20%"/>
    <m/>
    <s v="Planned Design efforts was 55 MDs"/>
    <m/>
  </r>
  <r>
    <n v="84"/>
    <s v="ADI"/>
    <m/>
    <s v="ADI-BA-06"/>
    <s v="Requirements Document Generation"/>
    <s v="AI-powered automated generation of BRD/FRS documents from stakeholder interviews and notes"/>
    <d v="2026-01-01T00:00:00"/>
    <s v="Analysis"/>
    <s v="Document Automation"/>
    <s v="Requirements Engineering"/>
    <m/>
    <m/>
    <m/>
    <m/>
    <s v="Use AI to structure notes into BRD sections; Review and validate AI output; Maintain quality standards"/>
    <s v="AI accelerates documentation but BA expertise remains critical for validation"/>
    <m/>
    <s v="Requires BA review for accuracy"/>
    <m/>
    <m/>
    <m/>
    <s v="Ahmed Fadl"/>
    <x v="0"/>
    <x v="1"/>
    <s v="Practical documentation case; missing KPI, owner, tool, and confidentiality controls."/>
    <s v="High feasibility for structuring interview notes into BRD/FRS sections if a review gate exists. Risk is introducing assumptions or omitting nuances from stakeholder narratives."/>
    <s v="1) Collect and redact interview notes/transcripts. 2) Use AI to organize content into BRD/FRS sections and open questions. 3) BA validates accuracy and fills gaps. 4) Publish reviewed draft only. 5) Track document-preparation time and review iterations saved."/>
    <m/>
    <m/>
    <m/>
    <m/>
  </r>
  <r>
    <n v="85"/>
    <s v="ADI"/>
    <m/>
    <s v="ADI-BA-07"/>
    <s v="Non-Functional Requirements Specification"/>
    <s v="AI-assisted NFRS creation covering performance, security, scalability, and usability"/>
    <d v="2026-01-01T00:00:00"/>
    <s v="Analysis"/>
    <s v="Requirements Development"/>
    <s v="NFR Documentation"/>
    <m/>
    <m/>
    <s v="1. Faster NFR Documentation Preparation_x000a_2. Improved System Quality Planning_x000a_3. Reduced Risk of Missing Critical Requirements"/>
    <m/>
    <s v="Describe system characteristics; AI generates NFR specifications; Architect validates"/>
    <s v="Ensures critical quality attributes aren't overlooked"/>
    <m/>
    <s v="Dependencies:_x000a_- Availability of functional requirements and use cases_x000a_- Architecture documentation (HLD or system overview)_x000a_- Operational constraints and infrastructure standards_x000a_- Security and compliance guidelines_x000a__x000a_Support Needed:_x000a_- Access to AI tools capable of analyzing requirements and generating structured specifications_x000a_- Validation support from solution architects and infrastructure teams_x000a_- Alignment with existing NFR documentation standards_x000a__x000a_Additional Remarks/Comments:_x000a_This use case is particularly valuable during system design and architecture phases, ensuring that non-functional requirements are identified early and incorporated into the system design."/>
    <m/>
    <m/>
    <s v="Input Sources:_x000a_- BRD documents_x000a_- Use case documentation_x000a_- Architecture design documents_x000a_- System constraints_x000a_- Infrastructure guidelines_x000a__x000a_Target Artifacts:_x000a_- Non-Functional Requirements Specification (NFRS)_x000a_- Quality attribute matrix_x000a_- System constraints documentation_x000a_- Architecture quality requirements_x000a__x000a_AI Tools_x000a_Github Copilot"/>
    <s v="Ahmed Fadl"/>
    <x v="0"/>
    <x v="1"/>
    <s v="Strong NFR case; add owner, selected status, and pilot metrics."/>
    <s v="High feasibility if fed with FRs, architecture context, infrastructure constraints, and compliance standards. Risk is generic NFR text unless prompts force measurable thresholds and system-specific constraints."/>
    <s v="1) Collect FRs, architecture docs, security/compliance standards, and infrastructure constraints. 2) Use AI to generate draft NFRS with measurable thresholds. 3) Architect/security/infrastructure teams validate and adjust. 4) Baseline approved NFRS. 5) Measure missed-NFR issues and preparation time before vs after."/>
    <m/>
    <m/>
    <m/>
    <m/>
  </r>
  <r>
    <n v="86"/>
    <s v="ADI"/>
    <m/>
    <s v="ADI-BA-09"/>
    <s v="Acceptance Criteria Creation"/>
    <s v="Automated generation of Gherkin scenarios and acceptance criteria from functional requirements"/>
    <d v="2026-01-01T00:00:00"/>
    <s v="Analysis"/>
    <s v="Requirements Development"/>
    <s v="Acceptance Testing"/>
    <m/>
    <m/>
    <m/>
    <m/>
    <s v="Input functional requirements into AI; Generate Given-When-Then scenarios; Review for completeness"/>
    <s v="AI generates comprehensive test scenarios that BAs might miss"/>
    <s v="Ahmed ElShahat "/>
    <s v="Works best with clear FRs"/>
    <m/>
    <m/>
    <m/>
    <s v="Ahmed Fadl"/>
    <x v="0"/>
    <x v="1"/>
    <s v="Useful testing aid; add KPI, owner, tool, and quality review workflow."/>
    <s v="High feasibility for transforming clear functional requirements into Gherkin and acceptance criteria. Risk is false completeness when source requirements are ambiguous or missing exception paths."/>
    <s v="1) Feed approved functional requirements into structured prompt. 2) Ask AI to generate Given-When-Then scenarios and acceptance criteria. 3) BA/QA review for completeness and business logic. 4) Publish to backlog/test repository. 5) Track criteria-preparation time and escaped requirement defects."/>
    <m/>
    <m/>
    <m/>
    <m/>
  </r>
  <r>
    <n v="87"/>
    <s v="ADI"/>
    <m/>
    <s v="ADI-BA-10"/>
    <s v="User Story Creation (Agile)"/>
    <s v="Automated user story generation with acceptance criteria for agile projects"/>
    <d v="2026-01-01T00:00:00"/>
    <s v="Analysis"/>
    <s v="Agile Requirements"/>
    <s v="User Story Writing"/>
    <m/>
    <m/>
    <m/>
    <m/>
    <s v="Describe user needs; AI creates stories in standard format; Product Owner reviews"/>
    <s v="Accelerates backlog creation and refinement"/>
    <s v="Mostafa Alqazaz"/>
    <s v="Best for agile contexts"/>
    <s v="No"/>
    <m/>
    <m/>
    <s v="Ahmed Fadl"/>
    <x v="0"/>
    <x v="1"/>
    <s v="Useful agile accelerator; missing KPI, owner, tooling, and backlog governance."/>
    <s v="High feasibility in agile teams when user needs and personas are well defined. AI can accelerate story drafting, but Product Owner review is mandatory to ensure prioritization and value alignment."/>
    <s v="1) Provide persona, need, value, and context in a story template. 2) Use AI to generate user stories and acceptance criteria. 3) Product Owner/BA review and refine. 4) Add approved stories to backlog. 5) Measure backlog drafting/refinement time before vs after."/>
    <m/>
    <m/>
    <m/>
    <m/>
  </r>
  <r>
    <n v="88"/>
    <s v="ADI"/>
    <m/>
    <s v="ADI-BA-11"/>
    <s v="Requirements Specification Review"/>
    <s v="AI-powered analysis of requirements documents for quality, completeness, and consistency"/>
    <d v="2026-01-01T00:00:00"/>
    <s v="Analysis"/>
    <s v="Quality Assurance"/>
    <s v="Document Review"/>
    <m/>
    <m/>
    <m/>
    <m/>
    <s v="Upload BRD/FRS; AI analyzes against standards; BA addresses findings"/>
    <s v="Provides objective quality metrics for deliverables"/>
    <s v="Ahmed ElShahat "/>
    <s v="Augments peer review"/>
    <m/>
    <m/>
    <m/>
    <s v="Ahmed Fadl"/>
    <x v="0"/>
    <x v="1"/>
    <s v="Strong QA use case; add KPI, owner, tool, and remediation workflow."/>
    <s v="High feasibility for document-quality checks against templates and standards. Risk is over-reporting issues unless review criteria and severity definitions are standardized."/>
    <s v="1) Upload BRD/FRS and standards/template checklist. 2) Ask AI to score completeness, consistency, ambiguity, and traceability issues. 3) BA reviews findings and disposition. 4) Re-run after updates. 5) Track review effort, defect density, and document quality score improvement."/>
    <m/>
    <m/>
    <m/>
    <m/>
  </r>
  <r>
    <n v="89"/>
    <s v="ADI"/>
    <m/>
    <s v="ADI-BA-12"/>
    <s v="Requirements Validation Checklists"/>
    <s v="AI-generated quality check lists to validate completeness and SMART criteria"/>
    <d v="2026-01-01T00:00:00"/>
    <s v="Analysis"/>
    <s v="Quality Assurance"/>
    <s v="Requirements Validation"/>
    <m/>
    <m/>
    <m/>
    <m/>
    <s v="Submit requirements document; AI generates validation checklist; BA performs review"/>
    <s v="Ensures all quality dimensions are evaluated"/>
    <s v="Mostafa Alqazaz"/>
    <s v="Complements BA judgment"/>
    <s v="Yes"/>
    <m/>
    <m/>
    <s v="Ahmed Fadl"/>
    <x v="0"/>
    <x v="1"/>
    <s v="Helpful quality aid; add toolchain, KPI, owner, and governance model."/>
    <s v="Moderate-to-high feasibility. AI can generate validation checklists from requirement content and quality standards, but the use case is closer to structured augmentation than deep autonomous reasoning."/>
    <s v="1) Provide requirement docs plus SMART/quality criteria. 2) Generate checklist by category: completeness, clarity, testability, traceability. 3) BA applies checklist and records findings. 4) Refine prompts from reviewer feedback. 5) Track checklist-preparation time and review coverage."/>
    <m/>
    <m/>
    <m/>
    <m/>
  </r>
  <r>
    <n v="90"/>
    <s v="ADI"/>
    <m/>
    <s v="ADI-BA-13"/>
    <s v="SRS Technical Specification"/>
    <s v="AI-powered solution architecture and technical specification generation from requirements"/>
    <d v="2026-01-01T00:00:00"/>
    <s v="Analysis"/>
    <s v="Solution Design"/>
    <s v="Technical Documentation"/>
    <m/>
    <m/>
    <s v="1. Faster Translation of Requirements to Technical Design_x000a_2. Improved Consistency of Technical Documentation_x000a_3. Faster Development Readiness"/>
    <m/>
    <s v="Input approved requirements; AI generates SRS sections; Architect validates"/>
    <s v="Bridges business and technical documentation"/>
    <m/>
    <s v="Dependencies:_x000a_- Availability of requirement inputs such as:_x000a_    * BRD documents_x000a_    * Use case documentation_x000a_    * business rules documentation_x000a_    * Architecture constraints_x000a_- Access to architecture standards and documentation templates used by the organization._x000a__x000a_Support Needed:_x000a_- Involvement of solution architects to validate generated technical specifications_x000a_- Access to AI tools capable of generating structured architecture and technical documentation_x000a_- Alignment with development standards and technology stacks used by the organization_x000a__x000a_Additional Remarks/Comments:_x000a_This use case is especially valuable in environments where technical specifications must be produced quickly while maintaining architectural consistency."/>
    <m/>
    <m/>
    <s v="Input Sources_x000a_- BRD documents_x000a_- Use case specifications_x000a_- business rules documentation_x000a_- Architecture guidelines_x000a__x000a_Target Artifacts_x000a_- Software Requirements Specification (SRS)_x000a_- Architecture diagrams_x000a_- API specifications_x000a__x000a_AI Tools_x000a_GitHub Copilot"/>
    <s v="Ahmed Fadl"/>
    <x v="1"/>
    <x v="10"/>
    <s v="Promising bridge from BA to tech design; add owner, KPI, and pilot."/>
    <s v="Moderate-to-high feasibility when inputs are approved and architecture standards are clearly defined. Risk is generating technically polished but context-misaligned specifications if constraints are incomplete."/>
    <s v="1) Feed approved BRD, use cases, rules, and architecture standards. 2) Ask AI to draft SRS sections, APIs, and architecture views. 3) Architect/development leads validate and adjust. 4) Publish only reviewed artifacts. 5) Measure technical-spec preparation time and rework reduction."/>
    <m/>
    <m/>
    <m/>
    <m/>
  </r>
  <r>
    <n v="91"/>
    <s v="ADI"/>
    <m/>
    <s v="ADI-BA-14"/>
    <s v="Requirements Traceability Matrix"/>
    <s v="Automated RTM generation and maintenance linking requirements to design and test cases"/>
    <d v="2026-01-01T00:00:00"/>
    <s v="Analysis"/>
    <s v="Requirements Management"/>
    <s v="Traceability"/>
    <m/>
    <m/>
    <m/>
    <m/>
    <s v="Upload all requirement documents; AI creates bidirectional links; Maintain updates"/>
    <s v="Eliminates manual matrix maintenance errors"/>
    <m/>
    <s v="Needs periodic validation"/>
    <m/>
    <m/>
    <m/>
    <s v="Ahmed Fadl"/>
    <x v="1"/>
    <x v="11"/>
    <s v="Valuable RTM automation case; missing KPI, owner, tool, and adoption plan."/>
    <s v="High feasibility if source artifacts are consistently named and version-controlled. Risk is incorrect linkage when requirements, designs, and tests use inconsistent identifiers."/>
    <s v="1) Gather requirement, design, and test artifacts with stable IDs. 2) Use AI to infer and propose bidirectional links. 3) BA/QA validate ambiguous mappings. 4) Publish maintained RTM in controlled repository. 5) Track time saved and traceability defects prevented."/>
    <m/>
    <m/>
    <m/>
    <m/>
  </r>
  <r>
    <n v="92"/>
    <s v="ADI"/>
    <m/>
    <s v="ADI-BA-15"/>
    <s v="Requirements Impact Analysis"/>
    <s v="AI-powered change impact assessment across requirements, design, and test artifacts"/>
    <d v="2026-01-01T00:00:00"/>
    <s v="Analysis"/>
    <s v="Requirements Management"/>
    <s v="Change Management"/>
    <m/>
    <m/>
    <m/>
    <m/>
    <s v="Input change request; AI traces impacts via RTM; BA assesses effort"/>
    <s v="Prevents underestimation of change complexity"/>
    <m/>
    <s v="Critical for change control"/>
    <m/>
    <m/>
    <m/>
    <s v="Ahmed Fadl"/>
    <x v="1"/>
    <x v="11"/>
    <s v="Strong change-control use case; add KPI, owner, toolchain, and pilot scope."/>
    <s v="High feasibility when change requests, RTM, and linked artifacts are available. AI is well suited to surface probable impact areas, but final effort and risk assessment must remain human-approved."/>
    <s v="1) Feed change request plus linked requirement/design/test artifacts. 2) Use AI to identify impacted items and propose risk/effort bands. 3) BA/lead review and confirm scope. 4) Store approved impact analysis with CR record. 5) Measure assessment cycle-time and missed-impact incidents."/>
    <m/>
    <m/>
    <m/>
    <m/>
  </r>
  <r>
    <n v="93"/>
    <s v="EAS"/>
    <s v="GRC"/>
    <s v="BFSI-GRC-01"/>
    <s v="SQL Code Optimization"/>
    <s v="using AI to optimize the SQL queries to remove full table scan._x000a_In some of our PL/SQL code (SQL Queries), we are getting Full table scan. So in all such cases if the table is very huge, then the query performance is getting very slow and the execution time is very high which results in poor performance. So we need to optimize the code for to achieve better performance"/>
    <d v="2026-02-26T00:00:00"/>
    <s v="Development"/>
    <s v="Backend"/>
    <s v="Development Acceleration and optimization"/>
    <s v="5 Hours if performed manually"/>
    <s v="1 hour"/>
    <s v="80% reduction in time"/>
    <s v="2 Developers"/>
    <s v="1. Identifying the query that needs to optimized using the Execution plan in Toad or SQL Developer._x000a_2. Clearly defining the joining conditions of different tables being used in the query._x000a_3. Building indexes on the different columns being used on the joinging conditions._x000a_4. taking help of AI to optimize the code"/>
    <s v="Getting Optimized SQL Queries without full table scan"/>
    <s v="Mohamed Essam"/>
    <m/>
    <m/>
    <s v="In Progress"/>
    <s v="Toad for Oracle, Copilot for taking help"/>
    <s v="Omar Ibrahim"/>
    <x v="1"/>
    <x v="12"/>
    <s v="Useful SQL tuning aid; add selected status, approved tool, and named owner."/>
    <s v="High feasibility as a developer-assist use case because SQL optimization from query text and indexed-column context is a proven pattern. AI can suggest index-aware rewrites, but DBA or senior engineer review remains mandatory to avoid regressions or misleading optimizations."/>
    <s v="Feed the SQL statement, execution plan, table statistics, and indexed-column details to the approved AI tool. Use AI suggestions to propose optimized queries, then validate with EXPLAIN plans, test data, and DBA review before adoption."/>
    <s v="It will help us reduce the development time by at least 30%"/>
    <n v="1"/>
    <s v="Project is ending in Jun 2026"/>
    <n v="1"/>
  </r>
  <r>
    <n v="94"/>
    <s v="EAS"/>
    <s v="CES"/>
    <m/>
    <s v="Document Generation"/>
    <s v="AI assistance in analyzing BRDs helping in efficient generation for HLD and LLD structured Diagrams and business models to optimise Technical Leads and designers time"/>
    <m/>
    <s v="Analysis"/>
    <s v="Requirements Analysis"/>
    <m/>
    <s v="132 hours"/>
    <s v="84 hours"/>
    <s v="Reduces documentation effort and improves consistency of HLD/LLD artifacts"/>
    <m/>
    <s v="Use past project documents and templates as grounding input before generating HLD/LLD drafts; Technical Lead reviews before delivery."/>
    <s v="Reusable across multiple projects with minimal setup; standardizes documentation quality"/>
    <s v="Norah Al Wabel"/>
    <m/>
    <m/>
    <m/>
    <s v="Eraser AI &amp; Chatgpt"/>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5"/>
    <m/>
    <s v="Q2 2026"/>
    <m/>
  </r>
  <r>
    <n v="95"/>
    <s v="EAS"/>
    <s v="CES"/>
    <m/>
    <s v="Code optimization"/>
    <s v="Enhancing C# Code to achieve more generic/reusable and better performing services/processes"/>
    <m/>
    <s v="Development"/>
    <s v="Backend"/>
    <m/>
    <n v="4"/>
    <n v="2"/>
    <s v="Improves code quality, reusability, and performance of C# services"/>
    <m/>
    <s v="Use AI on approved internal code artifacts; validate optimized code through code review and automated tests before deployment."/>
    <s v="High value for recurring development optimization activities"/>
    <s v="Norah Al Wabel"/>
    <m/>
    <m/>
    <m/>
    <s v="GitHub Copilot, Claude Code"/>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2"/>
    <m/>
    <s v="Q2 2026"/>
    <m/>
  </r>
  <r>
    <n v="96"/>
    <s v="EAS"/>
    <s v="EPS"/>
    <s v="EPS-BA-01"/>
    <s v="Meeting Minutes (MoM) Auto-Drafting"/>
    <s v="AI generates structured meeting minutes from recorded meeting transcripts, including attendees, decisions, action items, owners, and due dates, significantly reducing MoM preparation time."/>
    <d v="2026-02-26T00:00:00"/>
    <s v="Analysis"/>
    <s v="Requirements Management"/>
    <s v="Meeting Documentation"/>
    <n v="2"/>
    <n v="0.5"/>
    <s v="Reduces MoM preparation time and improves consistency of meeting documentation"/>
    <n v="1"/>
    <s v="Capture or export meeting transcript; prompt AI to draft structured minutes; reviewer validates wording and confidentiality before sending."/>
    <s v="Reusable across multiple projects with minimal setup"/>
    <s v="Yousef Milhem"/>
    <s v="Requires accurate meeting transcript; sensitive information must be reviewed before external distribution"/>
    <s v="Yes"/>
    <s v="In Progress"/>
    <s v="Microsoft 365 Copilot, ChatGPT"/>
    <s v="Omar Ibrahim"/>
    <x v="1"/>
    <x v="10"/>
    <s v="Practical productivity case; add owner, approved tool, KPI, and selected status."/>
    <s v="High feasibility for minutes-of-meeting drafting from meeting transcripts. This is a well-proven AI productivity pattern, provided the transcript is accurate and sensitive information is handled appropriately. Human review is still needed before sending MoM externally."/>
    <s v="Capture or export meeting transcript, then prompt AI to draft structured minutes with attendees, decisions, actions, owners, and due dates. Reviewer validates wording and confidentiality before sending."/>
    <n v="1.5"/>
    <m/>
    <s v="Q2 2026"/>
    <m/>
  </r>
  <r>
    <n v="97"/>
    <s v="EAS"/>
    <s v="EPS"/>
    <s v="EPS-BA-03"/>
    <s v="Reverse Engineering Logic from Code"/>
    <s v="During Requirement gathering, Shabbir &amp; ALI from ANB side shared the SQL stored procedures code files with us to get details about processing logic in TAPS for enrichment,validations, encryption as well as for narratives building.  I used ChatGpt to reverse engineer the logic. Using this only we could be able to complete our requirement gathering."/>
    <d v="2026-02-26T00:00:00"/>
    <s v="Analysis"/>
    <s v="Requirements Management"/>
    <s v="Requirements Discovery"/>
    <n v="8"/>
    <n v="3"/>
    <s v="Accelerates requirements gathering from legacy code and reduces dependency on original developers"/>
    <n v="1"/>
    <s v="Provide sanitized stored procedures or code files; AI extracts logic, validations, and business rules; BA validates interpretation with SMEs."/>
    <s v="High value for recurring SDLC activities involving legacy systems"/>
    <s v="Yousef Milhem"/>
    <s v="Code confidentiality and analyst validation are mandatory; sanitize code before AI processing"/>
    <s v="Yes"/>
    <s v="In Progress"/>
    <s v="ChatGPT, Claude"/>
    <s v="Omar Ibrahim"/>
    <x v="1"/>
    <x v="11"/>
    <s v="Strong BA accelerator; add KPI, owner, and approved code-handling controls."/>
    <s v="High feasibility when SQL or stored-procedure logic must be reverse-engineered during requirements analysis. AI is effective at summarizing procedural code and extracting business logic, but code confidentiality and analyst validation are mandatory."/>
    <s v="Provide sanitized stored procedures or code files, ask AI to extract logic, validations, rules, and narrative flows, then BA validates the interpretation with SMEs before using it in requirements baselines."/>
    <n v="5"/>
    <m/>
    <s v="Q2 2026"/>
    <m/>
  </r>
  <r>
    <n v="98"/>
    <s v="EAS"/>
    <s v="EPS"/>
    <s v="EPS-BA-04"/>
    <s v="SWIFT Message Reference and Sample Generation"/>
    <s v="AI provides reference information on SWIFT message types, general processing flows, and sample data structures when official SWIFT documentation is not accessible, supporting requirements analysis and business discussions."/>
    <d v="2026-02-26T00:00:00"/>
    <s v="Analysis"/>
    <s v="Requirements Management"/>
    <s v="Domain Knowledge Research"/>
    <n v="4"/>
    <n v="1"/>
    <s v="Accelerates SWIFT-related requirements research and reduces dependency on documentation access"/>
    <n v="1"/>
    <s v="Use AI for preliminary orientation and draft sample messages; validate all details against official SWIFT documentation or SME confirmation."/>
    <s v="Useful research accelerator; must verify against official sources"/>
    <s v="Yousef Milhem"/>
    <s v="AI-generated SWIFT details must be verified against official documentation; not to be treated as authoritative"/>
    <s v="Yes"/>
    <s v="In Progress"/>
    <s v="Microsoft 365 Copilot, ChatGPT"/>
    <s v="Omar Ibrahim"/>
    <x v="1"/>
    <x v="13"/>
    <s v="Useful research aid; verify official SWIFT sources before using outputs."/>
    <s v="Moderate feasibility for background research and sample generation, but risky if AI-generated SWIFT details are treated as authoritative without verification. Official SWIFT documentation or validated SME review is required before using results in design or test assets."/>
    <s v="Use AI only for preliminary orientation or draft sample messages. Validate all message structures, processing details, and reference data against official SWIFT documentation or SME confirmation before use."/>
    <n v="3"/>
    <m/>
    <s v="Q2 2026"/>
    <m/>
  </r>
  <r>
    <n v="99"/>
    <s v="EAS"/>
    <s v="EPS"/>
    <s v="EPS-BA-05"/>
    <s v="Test Data Generation and Preparation"/>
    <s v="AI generates realistic test data sets based on business scenarios, field constraints, and validation rules, reducing manual test data preparation effort and improving coverage."/>
    <d v="2026-02-26T00:00:00"/>
    <s v="Testing"/>
    <s v="Quality Assurance"/>
    <s v="Test Data Preparation"/>
    <n v="6"/>
    <n v="2"/>
    <s v="Reduces test data preparation effort and improves scenario coverage"/>
    <n v="0"/>
    <s v="Define target scenario types, required fields, validation rules, and masking constraints; AI drafts test data sets; tester validates realism and coverage."/>
    <s v="Best suited for pilot-to-scale adoption with clear data constraints"/>
    <s v="Yousef Milhem"/>
    <s v="Requires clear scenario definitions and data constraint rules; needs structured scope before operationalization"/>
    <s v="Yes"/>
    <s v="Planned"/>
    <s v="ChatGPT, Claude"/>
    <s v="Omar Ibrahim"/>
    <x v="1"/>
    <x v="14"/>
    <s v="Promising test-data idea; define workflow, owner, and measurable success criteria."/>
    <s v="Moderate feasibility. AI can help generate candidate test data and edge cases from scenario descriptions, but quality depends on clear prompts, data constraints, and environment rules. The use case needs structured scope before it can be operationalized."/>
    <s v="Define target scenario types, required fields, validation rules, and masking constraints. Use AI to draft representative test data sets, then tester validates realism and coverage before execution."/>
    <n v="4"/>
    <m/>
    <s v="Pilot in Q2 2026"/>
    <m/>
  </r>
  <r>
    <n v="100"/>
    <s v="EAS"/>
    <s v="EPS"/>
    <s v="EPS-QA-01"/>
    <s v="Test Case Generation from User Stories"/>
    <s v="AI derives comprehensive test cases including positive, negative, and boundary scenarios from approved user stories and acceptance criteria."/>
    <d v="2026-02-26T00:00:00"/>
    <s v="Testing"/>
    <s v="Test Automation"/>
    <s v="Test Case Generation"/>
    <n v="6"/>
    <n v="2"/>
    <s v="Speeds up test preparation and improves defect discovery through broader coverage"/>
    <n v="0"/>
    <s v="Provide approved user stories and acceptance criteria; AI generates test cases; QA reviews and enriches before adding to test repository."/>
    <s v="Proven GenAI pattern; story quality directly affects output quality"/>
    <s v="Yousef Milhem"/>
    <s v="Story quality strongly affects output quality; QA review mandatory for domain and integration coverage"/>
    <s v="Yes"/>
    <s v="Planned"/>
    <s v="ChatGPT, Claude"/>
    <s v="Omar Ibrahim"/>
    <x v="1"/>
    <x v="14"/>
    <s v="Useful QA accelerator; add KPI, owner, tool, and review workflow."/>
    <s v="High feasibility for deriving test cases from user stories because this is a proven GenAI pattern. However, story quality strongly affects output quality, and QA review is required to add domain, data, and integration coverage."/>
    <s v="Provide approved user stories and acceptance criteria, generate positive/negative/boundary test cases with AI, then QA reviews and enriches them before adding to the test repository."/>
    <n v="4"/>
    <m/>
    <s v="Pilot in Q2 2026"/>
    <m/>
  </r>
  <r>
    <n v="101"/>
    <s v="EAS"/>
    <s v="EPS"/>
    <s v="EPS-QA-02"/>
    <s v="User Story Enhancement for Tester Readability"/>
    <s v="AI enhances story descriptions and acceptance criteria into tester-readable format with explicit scenarios and assumptions, while preserving intent and traceability."/>
    <d v="2026-02-26T00:00:00"/>
    <s v="Analysis / Testing"/>
    <s v="Requirements Management"/>
    <s v="Requirements Readability"/>
    <n v="3"/>
    <n v="1"/>
    <s v="Improves requirement clarity and reduces tester interpretation errors"/>
    <n v="0"/>
    <s v="Feed original story and acceptance criteria to AI; request tester-oriented reformulation; QA or BA validates against source story."/>
    <s v="Reusable across multiple projects with minimal setup"/>
    <s v="Yousef Milhem"/>
    <s v="Must preserve intent and traceability to original requirement"/>
    <s v="Yes"/>
    <s v="Planned"/>
    <s v="ChatGPT, Claude"/>
    <s v="Omar Ibrahim"/>
    <x v="1"/>
    <x v="11"/>
    <s v="Useful tester-readability aid; add KPI, owner, and approved tooling."/>
    <s v="High feasibility as a documentation-enhancement use case. AI can rewrite stories and acceptance criteria into tester-readable language, but it must preserve intent and traceability to the original requirement."/>
    <s v="Feed the original story and acceptance criteria to AI, ask for tester-oriented reformulation with explicit scenarios and assumptions, then QA or BA validates against the source story before use."/>
    <n v="2"/>
    <m/>
    <s v="Pilot in Q2 2026"/>
    <m/>
  </r>
  <r>
    <n v="102"/>
    <s v="EAS"/>
    <s v="EPS"/>
    <s v="EPS-BA-06"/>
    <s v="AI-Assisted User Guide Drafting"/>
    <s v="AI generates structured user guide content from scripts, process steps, and system descriptions, producing professional documentation drafts for review and refinement."/>
    <d v="2026-02-26T00:00:00"/>
    <s v="Documentation"/>
    <s v="Documentation"/>
    <s v="User Guide Generation"/>
    <n v="6"/>
    <n v="2"/>
    <s v="Reduces documentation effort and improves consistency of user guides"/>
    <n v="0"/>
    <s v="Provide scripts, process steps, screenshots, and approved user-guide template; AI drafts structured content; SME or BA reviews for correctness."/>
    <s v="Best suited for pilot-to-scale adoption with standard templates"/>
    <s v="Yousef Milhem"/>
    <s v="Output quality depends on structured source material and standard template availability"/>
    <s v="Yes"/>
    <s v="Planned"/>
    <s v="Microsoft 365 Copilot, ChatGPT"/>
    <s v="Omar Ibrahim"/>
    <x v="1"/>
    <x v="14"/>
    <s v="Useful documentation aid; add tool, owner, and standardized guide template."/>
    <s v="Moderate-to-high feasibility for generating draft user guides from scripts or process steps. The use case is practical, but output quality and diagram usefulness depend on having structured source material and a standard template."/>
    <s v="Provide scripts, process steps, screenshots, and the approved user-guide template. Use AI to draft structured paragraphs and candidate visuals, then SME or BA reviews for correctness and usability."/>
    <n v="4"/>
    <m/>
    <s v="Pilot in Q2 2026"/>
    <m/>
  </r>
  <r>
    <n v="103"/>
    <s v="EAS"/>
    <s v="EPS"/>
    <s v="EPS-DEV-01"/>
    <s v="Issue Resolution and Code Fix Acceleration"/>
    <s v="AI-assisted analysis and resolution of development tickets including SQL execution issues, code performance bottlenecks, and runtime errors. AI suggests root causes and optimized fixes to accelerate ticket closure."/>
    <d v="2026-02-26T00:00:00"/>
    <s v="Development"/>
    <s v="Development Acceleration"/>
    <s v="Issue Resolution"/>
    <n v="4"/>
    <n v="2"/>
    <s v="Accelerates ticket resolution and improves code quality"/>
    <n v="0"/>
    <s v="Capture error context and relevant code; AI suggests root cause and optimized fix; developer validates before applying."/>
    <s v="High value for recurring development support activities"/>
    <s v="Yousef Milhem"/>
    <s v="Requires SPOC validation before scale-up; developer must test all fixes in non-prod"/>
    <s v="Yes"/>
    <s v="Planned"/>
    <s v="GitHub Copilot, Claude Code"/>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2"/>
    <m/>
    <s v="Q2 2026"/>
    <m/>
  </r>
  <r>
    <n v="104"/>
    <s v="EAS"/>
    <s v="EPS"/>
    <s v="EPS-DEV-02"/>
    <s v="Pull Request Drafting and Code Review Assistance"/>
    <s v="AI assists in drafting pull request descriptions, summarizing code changes, and performing preliminary code review to identify potential issues before human review."/>
    <d v="2026-02-26T00:00:00"/>
    <s v="Development"/>
    <s v="Development Acceleration"/>
    <s v="Code Review"/>
    <n v="4"/>
    <n v="2"/>
    <s v="Accelerates code review process and improves PR quality and consistency"/>
    <n v="0"/>
    <s v="Use AI to generate PR description from diff; AI performs preliminary review; lead engineer validates before merge."/>
    <s v="Reusable across all development projects with minimal setup"/>
    <s v="Yousef Milhem"/>
    <s v="Requires prompt template standardization; lead engineer approval mandatory"/>
    <s v="Yes"/>
    <s v="Planned"/>
    <s v="GitHub Copilot, Claude Code"/>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2"/>
    <m/>
    <s v="Q2 2026"/>
    <m/>
  </r>
  <r>
    <n v="105"/>
    <s v="EAS"/>
    <s v="EPS"/>
    <s v="EPS-DEV-04"/>
    <s v="AI-Augmented Development Process Enhancement"/>
    <s v="Leverage AI tools to accelerate development workflows including code scaffolding, API integration research, technical documentation, and internal POC development for emerging technologies."/>
    <d v="2026-02-26T00:00:00"/>
    <s v="Development"/>
    <s v="Development Acceleration"/>
    <s v="Process Optimization"/>
    <n v="6"/>
    <n v="2"/>
    <s v="Accelerates development workflows and reduces effort for routine engineering tasks"/>
    <n v="0"/>
    <s v="Use AI for code scaffolding, API research, and internal POCs; validate outputs through practice leads before delivery."/>
    <s v="Umbrella use case covering development workflow improvements; best suited for project-level pilots"/>
    <s v="Yousef Milhem"/>
    <s v="Incorporates AI in Development POCs concept; requires prompt template standardization"/>
    <s v="Yes"/>
    <s v="Planned"/>
    <s v="GitHub Copilot, Claude Code, ChatGPT"/>
    <s v="Omar Ibrahim"/>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4"/>
    <m/>
    <s v="Q2 2026"/>
    <m/>
  </r>
  <r>
    <n v="106"/>
    <s v="EAS"/>
    <s v="EPCS"/>
    <s v="EPCS-AI-118"/>
    <s v="application development and configuration"/>
    <s v="Alfresco  ECM serach capabilites"/>
    <d v="2025-03-05T00:00:00"/>
    <s v="Development / Support"/>
    <s v="Development Acceleration"/>
    <s v="Code generation"/>
    <m/>
    <m/>
    <s v="Faser to finalize customer CR"/>
    <m/>
    <s v="add and configure HTTP-to-HTTPS proxy to Alfresco Kubernetes cluster to keep Elastisearch secured "/>
    <m/>
    <s v="Ahmed AlSareti"/>
    <m/>
    <m/>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s v="24 working hours"/>
    <m/>
    <s v="Q2 2026"/>
    <m/>
  </r>
  <r>
    <n v="107"/>
    <s v="EAS"/>
    <s v="EPCS"/>
    <s v="EPCS-AI-119"/>
    <s v="application development"/>
    <s v="Alfresco ECM front-end application"/>
    <d v="2025-03-15T00:00:00"/>
    <s v="Development"/>
    <s v="Development Acceleration"/>
    <s v="Code modernization"/>
    <m/>
    <m/>
    <s v="enhance internal web applications development"/>
    <m/>
    <s v="update Alfresco workspace front-end application (Angular) to allow search by metadata"/>
    <m/>
    <s v="Ahmed AlSareti"/>
    <m/>
    <m/>
    <s v="Implemented"/>
    <s v="GitHub Copilot"/>
    <s v="Omar Ibrahim"/>
    <x v="0"/>
    <x v="7"/>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s v="48 working hours"/>
    <m/>
    <s v="Q2 2026"/>
    <m/>
  </r>
  <r>
    <n v="108"/>
    <s v="EAS"/>
    <s v="ERP"/>
    <s v="ERP-AI-005"/>
    <s v="AI-Powered ERP Reporting &amp; Documentation Automation"/>
    <s v="End-to-end AI-assisted workflow for ERP reporting tasks including requirement analysis, SQL development, RTF template generation, TDD creation, and knowledge management to improve productivity and reduce manual effort."/>
    <d v="2026-01-26T00:00:00"/>
    <s v="Design, Development, Testing, Documentation"/>
    <s v="Productivity Enhancement"/>
    <s v="ERP Reporting Automation &amp; Knowledge Management"/>
    <s v="3 Days per task"/>
    <s v="Reduced by 15%–20% (2.4–2.55 Days)"/>
    <s v="Faster delivery, reduced manual effort, fewer SQL errors, improved documentation quality, enhanced knowledge reuse, reduced dependency on individuals"/>
    <s v="Currently Individual Level (Expected to scale to Team Level)"/>
    <s v="Use AI tools (ChatGPT, Claude) across lifecycle: requirement capture, SQL generation, RTF creation, and TDD generation. Maintain structured knowledge repository. Standardize prompts and outputs."/>
    <s v="Transition from task-based AI usage to full lifecycle AI integration. Build long-term AI-powered knowledge repository for scalable productivity gains (target 30%+)."/>
    <s v="Doaa Mostafa"/>
    <s v="This initiative requires management support, along with a consistent documentation effort (approximately 1–2 hours per week). A centralized repository is essential for effective knowledge sharing, in addition to securing a company license for Claude to support AI-driven documentation and collaboration."/>
    <s v="Yes"/>
    <s v="In Progress (Individual Usage Phase)"/>
    <s v="ChatGPT, Claude"/>
    <s v="Doaa Mostafa"/>
    <x v="0"/>
    <x v="2"/>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4.8 to 7.2 hours per task"/>
    <s v="3 Phases (Individual → Team → Organization-wide)"/>
    <s v="Phase 1: 0–6 months_x000a_Phase 2: 12–24 months_x000a_Phase 3: 24+ months"/>
    <s v="Expected Multi-Project Adoption (5+ initially, scalable across ERP projects)"/>
  </r>
  <r>
    <n v="109"/>
    <s v="EAS"/>
    <s v="ERP"/>
    <s v="ERP-AI-006"/>
    <s v="AI-Driven HDL Data Migration Automation"/>
    <s v="AI-powered solution to automate data cleansing, validation, mapping, error prediction, and HDL file generation for Oracle HCM data migration, reducing manual effort and improving upload success rate."/>
    <d v="2026-01-26T00:00:00"/>
    <s v="Data Preparation, Development, Testing, Deployment"/>
    <s v="Productivity Enhancement"/>
    <s v="Data Migration Automation (HCM / HDL)"/>
    <s v="Several Days (depending on data volume)"/>
    <s v="Reduced to Few Hours"/>
    <s v="Faster migration cycles, improved data accuracy, reduced upload failures, minimized rework, lower dependency on multiple consultants, improved project delivery timelines"/>
    <s v="Currently Idea Phase (Planned for Implementation)"/>
    <s v="Use AI tools (ChatGPT, Claude) for data validation, mapping, and HDL generation. Build reusable templates for common objects. Integrate AI checks before HDL upload. Maintain structured validation rules."/>
    <s v="AI can transform data migration from manual iterative process to automated intelligent workflow. Strong potential for reuse across all HCM projects."/>
    <s v="Doaa Mostafa"/>
    <s v="Requires predefined mapping templates, access to clean source data, and validation rules standardization. Dependency on business data quality,in addition to securing a company license for Claude to support AI-driven documentation and collaboration."/>
    <s v="Yes"/>
    <s v="Planned"/>
    <s v="ChatGPT, Claude"/>
    <s v="Doaa Mostafa"/>
    <x v="0"/>
    <x v="0"/>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s v="16 to 24 hours per migration cycle"/>
    <s v="Pilot → Expand → Standardize (3 phases)"/>
    <s v="Phase 1: 0–3 months (Pilot)_x000a_Phase 2: 3–9 months (Expand)_x000a_Phase 3: 9–18 months (Full adoption)"/>
    <s v="High potential (All HCM / Fusion Migration Projects – 10+ project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n v="1"/>
    <x v="0"/>
    <m/>
    <s v="ADI-AI-0035"/>
    <s v="Revamp PrimeFaces to SpringBoot&amp;Angular"/>
    <s v="I have a use case to revamp some PrimeFaces application by migrating it to a Spring Boot backend with an Angular frontend, along with upgrading the platform from Java 8 to Java 21._x000a__x000a_The objective is to modernize the architecture, improve performance, security, and maintainability, and align the application with current standards and long-term support technologies._x000a__x000a_Please let me know if we can proceed with the technical assessment and next steps."/>
    <s v="1/27/2026"/>
    <s v="Development"/>
    <s v="Backend-Frontend"/>
    <s v="Code Revamp"/>
    <m/>
    <m/>
    <s v="1. Complex task that takes months to finish which need support_x000a_2. Faster delivery_x000a_3. Open opportunities to gain new projects from customers (Border Guard - GDP - SFES - SFPS) to migrate old JSF projects to SpringBoot"/>
    <s v="Not often happens but takes long time and a lot of efforts"/>
    <s v="1. Assessment_x000a_•_x0009_Inventory applications and modules_x000a_•_x0009_Analyze business logic, UI complexity, integrations_x000a_•_x0009_Check Java 8 → 21 compatibility_x000a_•_x0009_Estimate effort and define roadmap_x000a__x000a_2. Architecture_x000a_•_x0009_Backend: Spring Boot (REST, layered architecture)_x000a_•_x0009_Frontend: Angular (components, reactive forms)_x000a_•_x0009_Define API contracts (OpenAPI)_x000a_•_x0009_Set up security (Spring Security)_x000a__x000a_3. Setup_x000a_•_x0009_Configure Java 21, Angular environment_x000a_•_x0009_Initialize Spring Boot &amp; Angular projects_x000a_•_x0009_Set up CI/CD (optional)_x000a__x000a_4. Migration (Incremental)_x000a_•_x0009_Keep existing JSF running_x000a_•_x0009_Migrate modules one by one (start small)_x000a_•_x0009_Build new APIs + Angular UI_x000a_•_x0009_Gradually switch users_x000a__x000a_5. Refactoring_x000a_•_x0009_Move logic from JSF beans → Spring services_x000a_•_x0009_Replace legacy patterns (EJB, JSF scopes)_x000a_•_x0009_Implement validation &amp; error handling_x000a__x000a_6. Frontend_x000a_•_x0009_Rebuild UI in Angular (no direct migration)_x000a_•_x0009_Implement forms, validation, API integration_x000a__x000a_7. Java Upgrade_x000a_•_x0009_Upgrade to Java 21_x000a_•_x0009_Fix deprecated APIs &amp; update dependencies_x000a__x000a_8. Testing &amp; Deployment_x000a_•_x0009_Unit &amp; integration testing_x000a_•_x0009_Roll out per module and monitor _x000a_"/>
    <m/>
    <s v="Amr Ali Eshra - Ahmed Sherif"/>
    <s v="Dependencies:_x000a_- Access to the existing PrimeFaces application source code_x000a_- Availability of system documentation or functional specifications_x000a_Support Needed:_x000a_- Development environment configured for Java 21, Spring Boot, and Angular_x000a_- Access to the selected AI tools under evaluation_x000a_- Architecture review to define the target architecture and migration strategy_x000a_Additional Remarks/Comments:_x000a_AI tools can significantly accelerate:_x000a_- Legacy code understanding_x000a_- Component migration"/>
    <s v="Yes"/>
    <s v="Planned"/>
    <s v="Dev Stack:_x000a_Java, Spring boot, JSF, REST API, and angular_x000a_AI Tools:_x000a_Github Copilot and Git repos"/>
    <s v="Ahmed Fadl"/>
    <x v="0"/>
    <s v="Accepted – Ready for Pilot"/>
    <s v="Solid modernization case (PrimeFaces → Spring Boot/Angular, Java 8 → 21). AI can materially accelerate: codebase analysis, dependency mapping, migration inventory, test generation, and code-quality gates. No owner, effort baseline, or toolchain documented."/>
    <s v="High feasibility if scoped to AI-assisted migration phases rather than blind full conversion. Risk: hallucination of Java patterns if context prompts are weak. Mitigation: enforce mandatory code-review gate and automated test pass threshold before any AI-generated code is merged."/>
    <s v="1) Run static analysis on PrimeFaces codebase to produce migration inventory. 2) Define system context prompt with coding standards, Angular patterns, and Java 21 best practices. 3) Use AI to generate module-by-module migration stubs. 4) Mandatory PR review + SAST scan per module. 5) AI-generated unit/integration tests run in CI. 6) Track effort reduction vs baseline per sprint."/>
    <s v="implementation without AI expected to reach max 7 or 8 or average 5 months per project"/>
    <m/>
    <s v="Needed to offer current products to new customers with modern technologies"/>
    <m/>
    <x v="0"/>
    <s v="Accepted – Ready for Pilot"/>
    <x v="0"/>
  </r>
  <r>
    <n v="2"/>
    <x v="0"/>
    <m/>
    <s v="ADI-AI-0036"/>
    <s v="Understand existing HLD and other LLDs "/>
    <s v="be able to generate the new design suggestion with the same pattern. Also make sure that all arch. diagrams are generated accordingly"/>
    <s v="1/28/2026"/>
    <s v="Design"/>
    <s v="Design"/>
    <s v="Context understanding and generation - Non code"/>
    <m/>
    <m/>
    <s v="1. Faster Architecture Design Preparation_x000a_2. Consistency Across Design Documents_x000a_3. Better Documentation Quality"/>
    <m/>
    <s v="1) Analyze existing aggregate settlement design (cutoff/manual) and identify key components, flows, and integration points._x000a__x000a_2) Define target instant settlement model by shifting to event-driven processing triggered per POS transaction._x000a__x000a_3) Introduce reliable event ingestion layer (e.g., MQ) to handle transaction flow from Mepp and ensure resiliency._x000a__x000a_4) Implement real-time merchant eligibility checks within UMP based on configured rules._x000a__x000a_5) Orchestrate settlement flow through ESB to Cortex and Wallet Core for execution of instant fund transfer._x000a__x000a_6) Ensure idempotency and duplicate handling using standard transaction identifiers (e.g., rrn, stan, TID)._x000a__x000a_7) Maintain compatibility with existing EOD reconciliation logic in WMS._x000a__x000a_8) Validate system capacity and performance to handle high transaction volumes._x000a__x000a_9) Implement monitoring, logging, and failure handling for end-to-end settlement flow._x000a__x000a_10) Leverage AI tools to analyze existing HLD/LLD, extract patterns, and generate updated design diagrams, with mandatory architect review."/>
    <m/>
    <s v="Amr Morad"/>
    <s v="Dependencies:_x000a_- Access to existing HLD and LLD documentation_x000a_- Availability of architecture standards and documentation templates used_x000a_- Access to system integration documentation_x000a_where applicable_x000a__x000a_Support Needed:_x000a_- Access to AI tools_x000a_- Access to design document repositories_x000a_- Alignment with architecture governance to validate generated designs_x000a__x000a_Additional Remarks/Comments:_x000a_AI tools will be evaluated based on their ability to:_x000a_- Understand architectural documentation_x000a_- Extract system components and integration flows_x000a_- Generate structured design documents including architecture diagrams automatically"/>
    <s v="Implement instant settlement for POS merchant accounts configured at one of the fintechs with reference to previously designed and implemented aggregate settlement based on cutoff date/merchant manual action"/>
    <s v="Planned"/>
    <s v="Stack:_x000a_- HLD/LLD design documents, could be Mermaid or PlantUML_x000a_- Code access_x000a__x000a_AI Tools:_x000a_Github Copilot and Git repos"/>
    <s v="Ahmed Fadl"/>
    <x v="0"/>
    <s v="Accepted – Ready for Pilot"/>
    <s v="Useful design-copilot case — ingest HLD/LLD, extract patterns, generate to-be options and diagrams. Feasible if source artifacts are available and architect review is mandatory. Risk: hallucinated architecture if context is underspecified. Missing: named owner, effort baseline, tool, selected status."/>
    <s v="Moderate-to-high feasibility when bounded to pattern extraction + draft generation only — never autonomous design decisions. Mandatory architect review gate before any generated artifact is baselined."/>
    <s v="1) Ingest existing HLD/LLD docs and extract structural patterns. 2) Define architecture persona prompt aligned to org standards. 3) Generate 3 draft to-be design variants. 4) Auto-generate architecture diagrams (C4/PlantUML). 5) Architect review and approval before baselining. 6) Log accepted vs rejected suggestions to improve prompt quality."/>
    <s v="I assume should not less than 20%"/>
    <m/>
    <s v="End of May"/>
    <m/>
    <x v="0"/>
    <s v="Accepted – Ready for Pilot"/>
    <x v="0"/>
  </r>
  <r>
    <n v="3"/>
    <x v="0"/>
    <m/>
    <s v="ADI-AI-0039"/>
    <s v="Microservice Java Development using Spring Boot"/>
    <s v="Develop Java microservice APIs using Spring Boot, leveraging AI, within the Alphas project (Fraud Detection Solution) context"/>
    <n v="46054"/>
    <s v="Development"/>
    <s v="Backend"/>
    <s v="Code Generation"/>
    <m/>
    <m/>
    <s v="1. Faster delivery_x000a_2. Improve developer productivity_x000a_3. Standardized microservices architecture"/>
    <m/>
    <s v="Develop the foundational and system context (frameworks, patterns, personas, etc.), along with the project-specific context and detailed user prompts containing Low-Level Design"/>
    <s v="Faster delivery with consistent qualities"/>
    <s v="Waleed Tayea"/>
    <s v="Dependencies:_x000a_- Availability of finalized API specifications_x000a_Support needed:_x000a_- Access to the selected AI tools under evaluation._x000a_- Access to development environment and code repositories._x000a_Additional remarks and comments:_x000a_This use case could be used for evaluating AI agents in backend development scenarios including: code generation, test generation, API documentation, code refactoring, and debugging assistance"/>
    <m/>
    <s v="In-Progress"/>
    <s v="Dev Stack:_x000a_Java Spring boot, REST API_x000a_AI Tools:_x000a_Github Copilot and Git repos"/>
    <s v="Ahmed Fadl"/>
    <x v="0"/>
    <s v="Accepted – Ready for Scale"/>
    <s v="Strong engineering case; add named owner, selected use case, and tool."/>
    <s v="Strong engineering. Very doable if bounded to scaffolding, patterns, tests, API contracts, code review, and documentation. Must not bypass engineering standards."/>
    <s v="Prepare system context, coding standards, API conventions, LLD prompts, reference implementation, AI-assisted code generation, PR review, security scan, automated test gates"/>
    <s v="10-15%"/>
    <m/>
    <d v="2026-04-15T00:00:00"/>
    <m/>
    <x v="0"/>
    <s v="Accepted – Ready for Scale"/>
    <x v="0"/>
  </r>
  <r>
    <n v="4"/>
    <x v="0"/>
    <m/>
    <s v="ADI-BA-01"/>
    <s v="Stakeholder Interview Synthesis"/>
    <s v="AI-powered analysis and synthesis of stakeholder interview notes into structured requirements"/>
    <n v="46023"/>
    <s v="Analysis"/>
    <s v="Requirements Elicitation"/>
    <s v="Stakeholder Analysis"/>
    <m/>
    <m/>
    <s v="1. Faster requirements consolidation_x000a_2. Improved requirements quality and traceability_x000a_3. Better alignment across stakeholders"/>
    <m/>
    <s v="Upload interview transcripts/notes; AI extracts requirements; BA validates and prioritizes"/>
    <s v="Ensures no stakeholder input is missed"/>
    <s v="Mostafa Alqazaz"/>
    <s v="Dependencies:_x000a_- Availability of interview notes, workshop notes, transcripts, or meeting minutes_x000a_- Access to requirement templates or documentation patterns used by Ejada_x000a__x000a_Support Needed:_x000a_- Access to AI tools capable of summarization and requirement extraction_x000a_- Clear target format for outputs such as BRD, user stories, epics_x000a_- Review support from BA / architect / business owner_x000a__x000a_Additional Remarks/Comments:_x000a_This use case is very suitable for evaluating AI in:_x000a_- summarization_x000a_- requirement extraction_x000a_- categorization_x000a_- conflict identification_x000a_- drafting of structured business artifacts"/>
    <s v="Yes"/>
    <m/>
    <s v="Input Sources_x000a_- Interview notes_x000a_- Workshop minutes_x000a_- Meeting summaries_x000a__x000a_Target Artifacts_x000a_- BRD sections_x000a_- Requirement lists_x000a_- User stories_x000a__x000a_AI Tools_x000a_Github Copilot and Git repos"/>
    <s v="Ahmed Fadl"/>
    <x v="0"/>
    <s v="Accepted – Ready for Scale"/>
    <s v="Good BA use case; add KPI, owner, tools, and adoption path."/>
    <s v="Very practical and reliable BA use case. High feasibility if transcripts/notes are available and confidentiality is controlled."/>
    <s v="Upload transcripts/notes, generate requirements themes, decisions, conflicts, assumptions, open questions, then BA review and prioritization workshop"/>
    <m/>
    <m/>
    <m/>
    <m/>
    <x v="0"/>
    <s v="Accepted – Ready for Scale"/>
    <x v="0"/>
  </r>
  <r>
    <n v="5"/>
    <x v="0"/>
    <m/>
    <s v="ADI-BA-05"/>
    <s v="Business Rules Documentation"/>
    <s v="AI-assisted extraction and documentation of business rules from requirements and policies"/>
    <n v="46023"/>
    <s v="Analysis"/>
    <s v="Requirements Analysis"/>
    <s v="Business Rules"/>
    <m/>
    <m/>
    <s v="1. Improved Clarity of Business Logic_x000a_2. Reduced Requirement Ambiguity_x000a_3. Faster Documentation Preparation"/>
    <m/>
    <s v="Provide requirement docs and policies; AI extracts rules; BA validates logic"/>
    <s v="Ensures all rules are explicitly documented"/>
    <s v="Mostafa Alqazaz"/>
    <s v="Dependencies:_x000a_- Access to source documents such as BRDs and requirement specifications_x000a_- Availability of domain SMEs to validate extracted rules._x000a__x000a_Support Needed:_x000a_- Access to AI tools capable of analyzing large text documents and extracting structured information_x000a_- Definition of the target business rule documentation format_x000a_- Review process with business analysts and architects_x000a__x000a_Additional Comments/Remarks:_x000a_This use case is particularly useful in domains where business logic is complex and heavily rule-driven"/>
    <s v="Yes"/>
    <s v="Planned"/>
    <s v="Input Sources_x000a_- business requirement documents (BRD)_x000a_- Functional specifications_x000a_- Operational policies_x000a_- Regulatory documents_x000a__x000a_Target Artifacts_x000a_- business rule catalog_x000a_- rule documentation tables_x000a_- traceability matrices_x000a_- rule validation checklists_x000a__x000a_AI Tools_x000a_GitHub Copilot"/>
    <s v="Ahmed Fadl"/>
    <x v="0"/>
    <s v="Accepted – Ready for Scale"/>
    <s v="Useful rules extraction; add measurable impact, owner, and tool."/>
    <s v="Strong AI use case. Especially good when requirements and policy documents are large or inconsistent. Needs human validation because rule extraction can miss exceptions."/>
    <s v="Ingest policies/BRDs, extract candidate rules, normalize into decision tables, map rule source references, BA/SME review and sign-off"/>
    <m/>
    <m/>
    <m/>
    <m/>
    <x v="0"/>
    <s v="Accepted – Ready for Scale"/>
    <x v="0"/>
  </r>
  <r>
    <n v="6"/>
    <x v="0"/>
    <m/>
    <s v="ADI-BA-08"/>
    <s v="Use Case Documentation"/>
    <s v="AI-assisted creation of detailed use cases with all flows (main, alternative, exception)"/>
    <n v="46023"/>
    <s v="Analysis"/>
    <s v="Requirements Analysis"/>
    <s v="Use Case Modeling"/>
    <m/>
    <m/>
    <s v="1. Faster Documentation of Functional Behavior_x000a_2. Improved Requirement Clarity_x000a_3. Reduced Manual Effort for Analysts"/>
    <m/>
    <s v="Describe user-system interactions; AI generates structured use cases; BA validates business logic"/>
    <s v="Ensures all edge cases are documented systematically"/>
    <s v="Mostafa Alqazaz"/>
    <s v="Dependencies:_x000a_- Availability of interview notes, workshop notes, transcripts, or meeting minutes_x000a_- Access to requirement templates or documentation patterns used by Ejada_x000a__x000a_Support Needed:_x000a_- Access to AI tools capable of summarization and requirement extraction_x000a_- Clear target format for outputs such as BRD, user stories, epics_x000a_- Review support from BA / architect / business owner_x000a__x000a_Additional Remarks/Comments:_x000a_This use case is very suitable for evaluating AI in:_x000a_- summarization_x000a_- requirement extraction_x000a_- categorization_x000a_- conflict identification_x000a_- drafting of structured business artifacts"/>
    <s v="Yes"/>
    <s v="Planned"/>
    <s v="Input Sources_x000a_- Interview notes_x000a_- Workshop minutes_x000a_- Meeting summaries_x000a__x000a_Target Artifacts_x000a_- BRD sections_x000a_- Requirement lists_x000a_- User stories_x000a__x000a_AI Tools_x000a_Github Copilot and Git repos"/>
    <s v="Ahmed Fadl"/>
    <x v="0"/>
    <s v="Accepted – Ready for Scale"/>
    <s v="Useful documentation aid; add KPI, owner, and implementation tooling."/>
    <s v="Useful and doable. Good documentation accelerator, but should stay human-reviewed because completeness depends on context quality."/>
    <s v="Feed business process description and actors, generate main/alternative/exception flows, identify missing preconditions/postconditions, BA validation pass"/>
    <m/>
    <m/>
    <m/>
    <m/>
    <x v="0"/>
    <s v="Accepted – Ready for Scale"/>
    <x v="0"/>
  </r>
  <r>
    <n v="7"/>
    <x v="1"/>
    <s v="Public Cloud and Modernization"/>
    <m/>
    <s v="Terraform Code Generation &amp; Review"/>
    <s v="Terraform: IaC code generation (Terraform, etc.), Creating Terraform modules from natural language requirements, Converting Terraform modules between cloud providers (e.g., AWS to GCP), code review and standardization - identifying hardcoded values, inconsistent variable usage, and enforcing coding standards"/>
    <m/>
    <m/>
    <s v="Code &amp; Infrastructure Generation"/>
    <m/>
    <m/>
    <m/>
    <s v=" Faster infrastructure provisioning, reduced syntax errors, accelerated deployment cycles"/>
    <m/>
    <s v="Use as starting point, review for security/standards, test in non-prod first"/>
    <s v="AI handles well, human review essential for security and architecture"/>
    <m/>
    <s v="Requires peer review, must align with org standards"/>
    <s v="Yes"/>
    <s v="In Progress"/>
    <s v="Microsoft Copilot "/>
    <s v="Hisham Elrakaiby"/>
    <x v="0"/>
    <s v="Accepted – Ready for Implementation"/>
    <s v="In-progress IaC use case with clear scope: Terraform generation, cross-cloud conversion, code review, standards enforcement. Copilot confirmed. Gap: no named individual owner and no actual hours-saved baseline documented."/>
    <s v="High feasibility. Terraform generation from natural language is well-validated. Risk: generated IaC may contain insecure defaults. Mitigation: mandatory tfsec/Checkov scan in non-prod before any generated code is applied to production."/>
    <s v="1) Define prompt template with org naming conventions, tagging policy, security baseline. 2) Engineer describes infra requirement in natural language. 3) AI generates Terraform module. 4) Automated tfsec/Checkov scan — block on HIGH findings. 5) Engineer reviews and tests in non-prod. 6) Merge to IaC repo after peer review. 7) Track: time-to-deployable-IaC before vs after."/>
    <n v="0.5"/>
    <m/>
    <m/>
    <m/>
    <x v="0"/>
    <s v="Accepted – Ready for Implementation"/>
    <x v="0"/>
  </r>
  <r>
    <n v="8"/>
    <x v="1"/>
    <s v="Public Cloud and Modernization"/>
    <m/>
    <s v="CI/CD Pipeline Automation"/>
    <s v="CI/CD pipeline automation and configuration"/>
    <m/>
    <m/>
    <s v="Code &amp; Infrastructure Generation"/>
    <m/>
    <m/>
    <m/>
    <s v="Faster pipelines setup, standardized deployments, reduced configuration errors"/>
    <m/>
    <s v="Review security practices, validate against org CI/CD standards, test in isolated environment"/>
    <s v="Good for common pipeline patterns, customize for specific workflows"/>
    <m/>
    <m/>
    <s v="No"/>
    <m/>
    <s v="Microsoft Copilot "/>
    <s v="Hisham Elrakaiby"/>
    <x v="1"/>
    <s v="Need More Elaboration – Reframe as AI-Assisted Pipeline Engineering"/>
    <s v="The use case is technically feasible, but in its current form it is mostly deterministic DevOps engineering rather than a distinct AI-led use case._x000a_Most enterprise value comes from pipeline templates, golden paths, reusable YAML, policy checks, and platform standards._x000a_AI is relevant only when scoped to pipeline drafting, failure explanation, stage recommendation, test generation, or misconfiguration summarization under human and policy control."/>
    <s v="High doability operationally; Medium AI fit. Strong DevOps applicability, but AI should be limited to authoring assistance, troubleshooting, recommendation, and summarization. AI should not own deployment logic, secret handling, approval gates, or production execution end-to-end."/>
    <s v="Use it as an AI-assisted DevOps accelerator: generate starter pipeline YAML, explain failed pipeline runs, recommend missing controls, and summarize misconfigurations. Keep final execution rule-based through approved CI/CD platforms with security scanning, policy validation, and human approval."/>
    <s v="NA"/>
    <m/>
    <m/>
    <m/>
    <x v="1"/>
    <s v="Updated from Not Accepted because the case does have valid AI assistance potential when narrowed to engineering support and decision support, rather than autonomous pipeline automation. It is not strong enough for full acceptance yet, but it is valid as a reframed AI-assisted use case."/>
    <x v="0"/>
  </r>
  <r>
    <n v="9"/>
    <x v="1"/>
    <s v="Public Cloud and Modernization"/>
    <m/>
    <s v="Cloud Resource Bulk Operations"/>
    <s v="Performing bulk operations (e.g., 'stop all VMs with tag X'), Quick configuration checks across cloud resources"/>
    <m/>
    <m/>
    <s v="Agent-Based Actions &amp; Quick Commands"/>
    <m/>
    <m/>
    <m/>
    <s v=" Saves time on repetitive tasks, reduces manual errors, enables quick emergency actions"/>
    <m/>
    <s v="Test commands on single resource first, verify target scope before execution, implement dry-run"/>
    <s v="High efficiency for routine operations but needs safeguards"/>
    <m/>
    <s v="Requires proper authentication and RBAC"/>
    <s v="Yes"/>
    <s v="Planned"/>
    <s v="Microsoft Copilot "/>
    <s v="Hisham Elrakaiby"/>
    <x v="2"/>
    <s v="Not Accepted – Better as Automation / Guardrailed Ops"/>
    <s v="This use case is operationally valuable but is fundamentally a cloud automation and runbook orchestration capability, not a strong governed AI use case._x000a_Bulk actions such as stopping VMs, applying tags, or checking configurations are deterministic, high-risk operations that require strict RBAC, dry-run, scoped targeting, auditability, and approval workflow. Natural-language interpretation may help, but AI should not be the primary execution layer."/>
    <s v="High doability operationally; Low-Medium AI fit. The operational capability is real and useful, but AI fit is weak unless narrowed to intent interpretation, impact preview, or operator assistance. Autonomous execution through AI is not appropriate in enterprise cloud operations."/>
    <s v="Keep as guardrailed ops automation. Optionally use AI only for command drafting, impact summarization, and approval support. Execution must remain scripted, policy-controlled, and human-approved through CLI, automation accounts, Functions/Lambda, or orchestration tools. Re-submit only if reframed toward anomaly detection, summarization, or decision support."/>
    <s v="60-70%"/>
    <m/>
    <m/>
    <m/>
    <x v="1"/>
    <s v="Case remains Not Accepted because reassessment confirmed that the core value is deterministic operations automation, not AI adoption. No sufficient AI-specific capability was identified to justify inclusion in the governed AI portfolio."/>
    <x v="0"/>
  </r>
  <r>
    <n v="10"/>
    <x v="1"/>
    <s v="Public Cloud and Modernization"/>
    <m/>
    <s v="Infrastructure Discovery &amp; Documentation"/>
    <s v="Discovery and Documentiation: automated discovery and inventory tasks, environments scanning for insights, generating environment documentation and instructions, creating visual representations of infrastructure/architecture, auto-generating runbooks from actual infrastructure configurations, "/>
    <m/>
    <m/>
    <s v="Agent-Based Actions &amp; Quick Commands"/>
    <m/>
    <m/>
    <m/>
    <s v="Speeds up discovery phase, maintains up-to-date asset inventory, reduces manual documentation effort"/>
    <m/>
    <s v=" Schedule regular scans, validate completeness"/>
    <s v="Efficient for baseline inventory but requires regular manual validations"/>
    <m/>
    <s v=" May need read-only service account, consider rate limits"/>
    <s v="Yes"/>
    <s v="Planned"/>
    <s v="Microsoft Copilot "/>
    <s v="Hisham Elrakaiby"/>
    <x v="0"/>
    <s v="Accepted – Ready for Pilot"/>
    <s v="Clear use case: auto-discovery of cloud assets, runbook generation from live infrastructure configs, up-to-date inventory maintenance. In-progress, Copilot confirmed. Gap: no named individual owner and no baseline hours-saved metric."/>
    <s v="High feasibility. Infrastructure scanning → documentation is low-risk, high-value. Output is advisory/documentary — no execution risk. Well-suited for scheduled runs."/>
    <s v="1) Define scan scope and cloud account access (read-only IAM). 2) Schedule automated discovery scans (weekly). 3) AI generates: asset inventory, dependency maps, runbook drafts, architecture summaries. 4) Cloud engineer validates completeness. 5) Publish to shared wiki/CMDB. 6) KPI: documentation currency % and hours saved per discovery cycle."/>
    <n v="0.4"/>
    <m/>
    <m/>
    <m/>
    <x v="0"/>
    <s v="Accepted – Ready for Pilot"/>
    <x v="0"/>
  </r>
  <r>
    <n v="11"/>
    <x v="1"/>
    <s v="Public Cloud and Modernization"/>
    <m/>
    <s v="Performance Diagnostics &amp; Troubleshooting"/>
    <s v="Performance analysis: Root cause analysis for incidents by correlating multiple data sources,  performance bottleneck identification in K8s clusters or DBs, explaining error messages in context of specific environments"/>
    <m/>
    <m/>
    <s v="Troubleshooting &amp; Analysis"/>
    <m/>
    <m/>
    <m/>
    <s v="Reduces MTTR, improves incident understanding, may prevent recurrence"/>
    <s v=" "/>
    <s v="Provide relevant context, verify conclusions, document for post-mortems"/>
    <s v="Useful correlation tool but human expertise needed for final diagnosis"/>
    <m/>
    <s v="Requires access to logs, metrics, and incident history"/>
    <s v="No"/>
    <m/>
    <s v="Microsoft Copilot "/>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0.4"/>
    <m/>
    <m/>
    <m/>
    <x v="2"/>
    <s v="Updated from More Elaboration Needed to Accepted Idea because the row now provides enough business value, AI fit, feasibility, and implementation readiness to move forward under governed review."/>
    <x v="0"/>
  </r>
  <r>
    <n v="12"/>
    <x v="1"/>
    <s v="Public Cloud and Modernization"/>
    <m/>
    <s v="Cost Analysis &amp; Capacity Planning"/>
    <s v="Utilization and Cost: cost anomaly detection and explanation, cloud Discounts analysis and recommendations (e.g. GCP's CUDs), predicting capacity needs based on historical trends, analyzing resource utilization patterns and recommending rightsizing"/>
    <m/>
    <m/>
    <s v="Capacity Planning &amp; Cost Optimization"/>
    <m/>
    <m/>
    <m/>
    <s v=" Prevents budget overruns, identifies waste, supports cost optimization"/>
    <m/>
    <s v="Set baseline thresholds, investigate anomalies promptly, track trends"/>
    <s v="Effective early warning system for cost issues"/>
    <m/>
    <s v="Should integrate with billing alerts, may need historical cost data, needs testing"/>
    <s v="No"/>
    <m/>
    <s v="Microsoft Copilot "/>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0.5"/>
    <m/>
    <m/>
    <m/>
    <x v="2"/>
    <s v="Updated from More Elaboration Needed to Accepted Idea because the row now provides enough business value, AI fit, feasibility, and implementation readiness to move forward under governed review."/>
    <x v="0"/>
  </r>
  <r>
    <n v="13"/>
    <x v="1"/>
    <s v="Public Cloud and Modernization"/>
    <m/>
    <s v="Cloud Security &amp; Compliance Review"/>
    <s v="Security practices: Cloud security policy review and gap analysis, Generating compliance evidence documentation (helpful for audits and NCA requirements), Cloud IAM policy analysis and recommendations, Vulnerability remediation guidance with context-aware fixes"/>
    <m/>
    <m/>
    <s v="Security &amp; Compliance"/>
    <m/>
    <m/>
    <m/>
    <s v="Strengthens security posture, ensures compliance, identifies vulnerabilities, reduces audit preparation time, ensures completeness, maintains compliance"/>
    <m/>
    <s v="Cross-reference with security standards, prioritize findings, validate recommendations, Verify evidence accuracy, organize by control framework, update regularly"/>
    <s v="Helpful for initial review but requires security expertise for remediation, streamlines compliance documentation but needs auditor validation"/>
    <m/>
    <s v="Should align with NCA ECC and organizational security policies, must be version-controlled"/>
    <s v="No"/>
    <m/>
    <s v="Microsoft Copilot "/>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0.4"/>
    <m/>
    <m/>
    <m/>
    <x v="2"/>
    <s v="Updated from More Elaboration Needed to Accepted Idea because the row now provides enough business value, AI fit, feasibility, and implementation readiness to move forward under governed review."/>
    <x v="0"/>
  </r>
  <r>
    <n v="14"/>
    <x v="1"/>
    <s v="Public Cloud and Modernization"/>
    <m/>
    <s v="Firewall Rules Management"/>
    <s v="Reviewing and optimizing firewall rules across Shared VPC"/>
    <m/>
    <m/>
    <s v="Configuration Management"/>
    <m/>
    <m/>
    <m/>
    <s v="Improves security posture, reduces rule complexity, identifies unused rules"/>
    <m/>
    <s v="Document all changes, verify impact on traffic, test before applying"/>
    <s v="Helps maintain clean firewall configuration"/>
    <m/>
    <s v="Requires network traffic analysis"/>
    <s v="No"/>
    <m/>
    <s v="Microsoft Copilot "/>
    <s v="Hisham Elrakaiby"/>
    <x v="1"/>
    <s v="Need More Elaboration – Reframe as AI-Assisted Rule Analysis and Optimization"/>
    <s v="In its current wording, this looks like standard firewall governance and network/security engineering. However, there is credible AI value if the use case is narrowed to rule analysis rather than automatic change execution._x000a_AI can support duplicate-rule detection, stale-rule identification, access-path summarization, risk explanation, and recommendation generation, but not unsupervised rule modification in production."/>
    <s v="High doability operationally; Medium-High AI fit if focused on analysis. Strong technical applicability when flow logs, policy metadata, and ownership context are available. AI fit becomes valid only when used for analysis, rationalization, and human decision support."/>
    <s v="Reframe as AI-assisted firewall rule review and optimization support. Use AI to analyze logs and policy sets, identify redundant or overly broad rules, summarize likely impact, and propose cleanup recommendations for security/network team review. Keep actual rule changes under formal change control and human approval."/>
    <n v="0.5"/>
    <m/>
    <m/>
    <m/>
    <x v="1"/>
    <s v="Updated from Not Accepted because the original framing was too execution-oriented. After reassessment, the case shows valid AI applicability in analysis, explanation, and policy optimization support, but still needs better scope definition before it can be accepted."/>
    <x v="0"/>
  </r>
  <r>
    <n v="15"/>
    <x v="1"/>
    <s v="Public Cloud and Modernization"/>
    <m/>
    <s v="Configuration Drift Detection"/>
    <s v="Comparing configurations across environments to catch drift"/>
    <m/>
    <m/>
    <s v="Configuration Management"/>
    <m/>
    <m/>
    <m/>
    <s v="Ensures environment consistency, catches unauthorized changes, supports change management"/>
    <m/>
    <s v=" Define expected state, automate comparison, alert on significant drift"/>
    <s v="Maintains configuration integrity across environments"/>
    <m/>
    <s v="Should integrate with IaC workflows, needs baseline definitions"/>
    <s v="Yes"/>
    <s v="Planned"/>
    <s v="Microsoft Copilot "/>
    <s v="Hisham Elrakaiby"/>
    <x v="0"/>
    <s v="Accepted – Ready for Pilot"/>
    <s v="Pure drift detection is deterministic and should rely on IaC baselines, cloud inventory, config comparison, and policy engines._x000a_However, this case becomes a valid AI use case when AI is applied to drift impact analysis, noise reduction, classification of expected vs suspicious changes, probable root-cause inference, prioritization, and remediation recommendation. This is the strongest AI candidate among the four."/>
    <s v="High doability operationally; Medium-High AI fit. The deterministic detection layer is mature and feasible; AI adds meaningful value in triage, context enrichment, prioritization, and operational decision support. This makes it suitable for pilot under controlled scope."/>
    <s v="Implement as AI-enhanced drift intelligence. Use standard tools for actual drift detection, then apply AI to classify drift severity, summarize risk, infer likely cause, and recommend remediation. Start with one cloud/platform scope, one baseline source of truth, and human-validated outputs before broader rollout."/>
    <n v="0.7"/>
    <m/>
    <m/>
    <m/>
    <x v="1"/>
    <s v="Updated from Not Accepted because reassessment identified a legitimate AI layer on top of deterministic drift detection. Unlike the other cases, this one has clear AI value in triage and decision support, making it suitable for pilot rather than rejection."/>
    <x v="0"/>
  </r>
  <r>
    <n v="16"/>
    <x v="1"/>
    <s v="Public Cloud and Modernization"/>
    <m/>
    <s v="Cloud Best Practices Knowledge"/>
    <s v="Quick answers about cloud platforms' best practices without searching documentation"/>
    <m/>
    <m/>
    <s v="Knowledge Retrieval"/>
    <m/>
    <m/>
    <m/>
    <s v="Saves research time, accelerates decision-making, improves implementation quality"/>
    <m/>
    <s v="Verify against official documentation, consider context, cross-check critical decisions"/>
    <s v="Efficient knowledge retrieval but validate for production use"/>
    <m/>
    <s v="Should not replace official documentation for critical implementations"/>
    <s v="Yes"/>
    <s v="Planned"/>
    <s v="Microsoft Copilot"/>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0.7"/>
    <m/>
    <m/>
    <m/>
    <x v="2"/>
    <s v="Updated from More Elaboration Needed to Accepted Idea because the row now provides enough business value, AI fit, feasibility, and implementation readiness to move forward under governed review."/>
    <x v="0"/>
  </r>
  <r>
    <n v="17"/>
    <x v="1"/>
    <s v="ServiceNow"/>
    <m/>
    <s v="AI-Requirements Gathering automation "/>
    <s v="Using tools like Microsoft Copilot:_x000a_- Convert workshop transcripts into structured requirements_x000a_- Draft BRDs, FSDs, and user stories automatically_x000a_- Summarize stakeholder meetings_x000a_- Generate process documentation_x000a_- Create RACI matrices and test scenarios"/>
    <m/>
    <s v="Design"/>
    <s v="Design Automation"/>
    <m/>
    <m/>
    <m/>
    <s v="Reduces BA documentation effort by 30–50%"/>
    <m/>
    <s v="Implementation Guidelines: 1) Record &amp; transcribe workshop. 2) Feed to Copilot with SN context. 3) AI generates BRD/stories/RACI. 4) BA reviews &amp; approves. 5) Approved items to backlog. 6) Track effort delta"/>
    <m/>
    <m/>
    <m/>
    <s v="Yes"/>
    <s v="Planned"/>
    <s v="Microsoft Copilot"/>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18"/>
    <x v="1"/>
    <s v="ServiceNow"/>
    <m/>
    <s v="Test senarios Auto-generations"/>
    <s v="-Convert BRD / User Stories into structured test cases_x000a_-Generate positive &amp; negative scenarios_x000a_-Create boundary test conditions_x000a_-Produce UAT scripts"/>
    <m/>
    <s v="Testing"/>
    <s v="Test Automation"/>
    <m/>
    <m/>
    <m/>
    <s v="Saves 40–60% of test design effort."/>
    <m/>
    <s v="Implementation Guidelines: 1) Confirm Now Assist license. 2) Feed stories/BRD to Now Assist. 3) AI generates test cases. 4) QA lead reviews &amp; approves. 5) Load to ATF. 6) Track coverage %"/>
    <m/>
    <m/>
    <m/>
    <s v="No"/>
    <s v="Planned"/>
    <s v="Microsoft Copilot + ServiceNow ATF + ServiceNow Now Assist (requires Licenses)"/>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19"/>
    <x v="1"/>
    <s v="BCDR"/>
    <m/>
    <s v="AI-Powered BIA Analyser"/>
    <s v="AI-powered tool that guides stakeholders through a structured questionnaire and automatically produces a professional Business Impact Analysis (BIA) report — identifying critical systems, business dependencies, and recovery priorities. Serves all streams including Cloud, Cybersecurity, Enterprise Apps, and Managed Services from a single exercise."/>
    <n v="46079"/>
    <s v="Analysis"/>
    <s v="Business Analysis"/>
    <s v="BIA &amp; Criticality Discovery"/>
    <s v="6 -8 weeks"/>
    <s v="1-2 weeks"/>
    <s v="Significantly reduces BIA project delivery time. Reduces man-hours per engagement. Single exercise serves all streams. Billable as standalone AI Discovery Service."/>
    <s v="All client-facing BCDR engagements"/>
    <s v="Stakeholders fill a structured questionnaire. Responses fed into AI. AI generates BIA report automatically. Output reviewed and delivered as PDF/Word."/>
    <s v="Replaces weeks of manual workshops with an AI-driven exercise. Consistent, auditable output every time."/>
    <m/>
    <s v="Internally built AI product. Not dependent on public AI tools. Deployable within client's private cloud environment."/>
    <s v="Yes"/>
    <s v="Planned"/>
    <s v="AI-powered BIA Product, Generative AI (LLM), Microsoft Teams, SharePoint"/>
    <s v="Hisham Elrakaiby"/>
    <x v="0"/>
    <s v="Accepted – Ready for Pilot"/>
    <s v="Excellent BCDR product: structured questionnaire → AI-generated professional BIA report. Effort from 6–8 weeks to 1–2 weeks. Billable as standalone AI Discovery Service. Gap: no named individual product owner; no pilot client identified."/>
    <s v="High feasibility. Questionnaire-to-report generation is reliable LLM pattern. BIA content is structured and amenable to template-driven generation. Risk: regulatory acceptability of AI-generated BIA must be confirmed for SAMA/NCA-regulated clients."/>
    <s v="1) Assign individual product owner. 2) Build structured questionnaire: critical systems, business processes, dependencies, RPO/RTO targets. 3) AI generates BIA report from responses (Word/PDF). 4) Consultant reviews and signs off. 5) Pilot with one existing BCDR client. 6) KPI: delivery time per BIA engagement before vs after; client satisfaction score."/>
    <m/>
    <m/>
    <m/>
    <m/>
    <x v="0"/>
    <s v="Accepted – Ready for Pilot"/>
    <x v="0"/>
  </r>
  <r>
    <n v="20"/>
    <x v="1"/>
    <s v="BCDR"/>
    <m/>
    <s v="AI-Powered Backup Compliance Auditor"/>
    <s v="AI-powered tool that analyses an organisation's backup and replication configuration, identifies unprotected systems, policy violations, and compliance gaps against SAMA, NCA, and ISO 22301 requirements. Supports leading backup platforms including Veeam, Commvault, and Veritas. Client exports their configuration in one click — AI produces a full audit report automatically."/>
    <n v="46079"/>
    <s v="Analysis"/>
    <s v="BCDR Compliance"/>
    <s v="Backup &amp; Replication Audit"/>
    <s v="3–5 days"/>
    <s v="Few hours"/>
    <s v="Identifies backup compliance gaps before an auditor does. Finds critical systems not covered by any backup or replication job. Produces regulator-ready audit report for SAMA, NCA, ISO 22301. Billable as standalone BCDR Compliance Audit engagement."/>
    <s v="All clients with backup and replication environments"/>
    <s v="Client exports backup tool configuration in one click. Upload to AI tool. AI analyses against compliance standards. Full audit report generated automatically."/>
    <s v="Fills the compliance intelligence gap that backup tools like Veeam do not provide natively. Zero manual effort from the client."/>
    <m/>
    <s v="Supports all major backup platforms. Internally built "/>
    <s v="Yes"/>
    <s v="Planned"/>
    <s v="AI-powered Backup Auditor, Generative AI (LLM), Veeam / Commvault / Veritas, SharePoint"/>
    <s v="Hisham Elrakaiby"/>
    <x v="0"/>
    <s v="Accepted – Ready for Pilot"/>
    <s v="Strong compliance product. Client exports backup config → AI produces regulator-ready audit report against SAMA/NCA/ISO 22301. Effort from 3–5 days to hours. Billable as standalone BCDR Compliance Audit. Gap: no named individual product owner; no pilot account."/>
    <s v="High feasibility. Backup configuration files are structured/exportable from Veeam/Commvault/Veritas. AI compliance mapping is well-proven. Risk: false confidence if client's config export is incomplete or not representative of actual backup state."/>
    <s v="1) Assign individual product owner. 2) Build config export templates for Veeam/Commvault/Veritas. 3) Define compliance rule set: SAMA CSF, NCA ECC, ISO 22301 backup controls. 4) AI ingests config export, identifies unprotected systems and policy violations. 5) Generate audit report with gap list and remediation. 6) Pilot with one existing BCDR client. 7) KPI: audit report preparation time before vs after."/>
    <m/>
    <m/>
    <m/>
    <m/>
    <x v="0"/>
    <s v="Accepted – Ready for Pilot"/>
    <x v="0"/>
  </r>
  <r>
    <n v="21"/>
    <x v="1"/>
    <s v="BCDR"/>
    <m/>
    <s v="IaC DR Environment implementation"/>
    <s v="AI generates Terraform module stubs for DR environments based on the approved LLD, leveraging the hub's IaC library patterns for each platform (AWS, Azure, GCP, OCI, On-Prem)."/>
    <n v="46079"/>
    <s v="Analysis"/>
    <s v="IaC DR Environment implementation"/>
    <m/>
    <s v="2-4 weeks"/>
    <s v="1 week"/>
    <s v="• Accelerates implementation phase significantly_x000a_• Ensures IaC-first delivery across all engagements_x000a_• Reduces risk of manual configuration errors"/>
    <s v="All client-facing BCDR engagements"/>
    <s v="Confirm LLD is approved and signed off (prerequisite). 2) Define IaC library pattern catalog as AI context. 3) AI generates Terraform module stubs per LLD component (VMs, networking, replication). 4) Engineer reviews against LLD and IaC standards. 5) tfsec/Checkov scan — block on HIGH. 6) Non-prod DR test provisioning. 7) Track: IaC generation time per DR environment"/>
    <m/>
    <m/>
    <m/>
    <m/>
    <m/>
    <m/>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m/>
    <m/>
    <m/>
    <m/>
    <x v="2"/>
    <s v="Updated from More Elaboration Needed to Accepted Idea because the row now provides enough business value, AI fit, feasibility, and implementation readiness to move forward under governed review."/>
    <x v="0"/>
  </r>
  <r>
    <n v="22"/>
    <x v="1"/>
    <s v="BCDR"/>
    <m/>
    <s v="AI-Powered Post-Test Report Generator"/>
    <s v="AI analyses captured DR drill logs, timing data, and test outcomes and automatically drafts the post-test exit report — including pass/fail against RTO/RPO, issues found, and recommended remediation actions."/>
    <n v="46079"/>
    <s v="Analysis"/>
    <s v=" Post-Test Report Generator"/>
    <m/>
    <s v="6 -8 weeks"/>
    <s v="1-2 weeks"/>
    <s v="• Removes hours of manual report writing after each drill_x000a_• Produces consistent, professional reports across all engagements_x000a_• Enables faster customer sign-off and phase closure"/>
    <s v="All client-facing BCDR engagements"/>
    <s v="Define standard drill log format capturing timing, test steps, issues, RTO/RPO actuals. 2) Drill coordinator validates raw data completeness. 3) Feed logs to AI with report template. 4) AI drafts report. 5) BCDR consultant reviews and finalizes. 6) Client sign-off. 7) KPI: time from drill completion to final report delivery"/>
    <m/>
    <m/>
    <m/>
    <m/>
    <m/>
    <m/>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m/>
    <m/>
    <m/>
    <m/>
    <x v="2"/>
    <s v="Updated from More Elaboration Needed to Accepted Idea because the row now provides enough business value, AI fit, feasibility, and implementation readiness to move forward under governed review."/>
    <x v="0"/>
  </r>
  <r>
    <n v="23"/>
    <x v="1"/>
    <s v="Cloud Engineering -Networks and Security"/>
    <m/>
    <s v="AI-Driven Autonomous SOC"/>
    <s v="AI-centric security operations platform that unifies SIEM, XDR, SOAR, UEBA, and exposure management to automate detection, investigation, and response across enterprise environments."/>
    <n v="46079"/>
    <s v="Operation"/>
    <s v="Automation"/>
    <s v="Security"/>
    <s v="3–5 days"/>
    <s v="Few hours"/>
    <s v="*Consolidates fragmented SOC tooling_x000a_*Automates alert triage and response workflows_x000a_*Reduces detection and response time_x000a_*Improves cross-domain visibility_x000a_*Optimizes SOC operational efficiency"/>
    <s v="SoC as a service and managed SOC and PS"/>
    <s v="Decompose into sub-use-cases: alert triage, playbook execution, UEBA anomaly detection, exposure management. 2) Assign owner per sub-case. 3) Management approval for platform selection. 4) Pilot highest-priority sub-case first"/>
    <m/>
    <m/>
    <m/>
    <s v="No"/>
    <m/>
    <s v="*Palo Alto Networks’ Cortex XSIAM_x000a_*CrowdStrike Falcon"/>
    <s v="Hisham Elrakaiby"/>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m/>
    <m/>
    <m/>
    <m/>
    <x v="2"/>
    <s v="Updated from More Elaboration Needed to Accepted Idea because the row now provides enough business value, AI fit, feasibility, and implementation readiness to move forward under governed review."/>
    <x v="0"/>
  </r>
  <r>
    <n v="24"/>
    <x v="2"/>
    <s v="ECC"/>
    <s v="CS-AI-01"/>
    <s v="AI-Driven Threat Detection &amp; Response Automation"/>
    <s v="Deploy machine learning models to detect and respond to security threats in real time, reducing mean time to detect (MTTD)  by 60–80%."/>
    <n v="46079.448238541663"/>
    <s v="NA"/>
    <s v="Security Operations"/>
    <s v="Detection and Response Automation"/>
    <s v="MTTD=4:6 Hours "/>
    <s v="MTTD=15:30 Mins"/>
    <s v="• Improves SLA compliance: Reduces MTTD from hours to minutes, directly supporting higher SLA tiers_x000a_• Scales operations: Automates routine threat analysis, allowing teams to handle 3–5x more clients without proportional headcount increase_x000a_• Increases revenue per customer: Premium support tiers with faster response times command 15–25% higher fees_x000a_• Reduces alert fatigue: ML prioritizes critical threats, reducing false positives by 40–60%, improving team morale and accuracy_x000a_"/>
    <s v="NA"/>
    <s v="Baseline Security Logs:_x000a_•_x0009_Ingest logs from SIEM, IDS/IPS, firewall, DNS, and endpoint detection systems_x000a_•_x0009_Create baseline profiles of normal behavior per user, host, and network segment_x000a_ML Models &amp; Techniques:_x000a_•_x0009_Anomaly Detection: Isolation Forests or Autoencoders flag unusual traffic patterns, login times, or data transfers_x000a_• Threat Scoring: Random Forest or Gradient Boosting ranks threats by likelihood of compromise_x000a_• Behavioral Clustering: Group similar incidents to identify campaigns or attack patterns_x000a_Automation &amp; Response:_x000a_• Playbook Integration: Automatically block IPs, quarantine endpoints, or escalate to human analysts_x000a_• Dynamic Tuning: Model retrains weekly to adapt to evolving threat landscape_x000a_• Analyst Feedback Loop: Security team's manual decisions feed back into model refinement"/>
    <s v="• Improves SLA compliance: Reduces MTTD from hours to minutes, directly supporting higher SLA tiers_x000a_• Scales operations: Automates routine threat analysis, allowing teams to handle 3–5x more clients without proportional headcount increase_x000a_• Increases revenue per customer: Premium support tiers with faster response times command 15–25% higher fees_x000a_• Reduces alert fatigue: ML prioritizes critical threats, reducing false positives by 40–60%, improving team morale and accuracy_x000a_"/>
    <s v="Wagieh Sheira"/>
    <m/>
    <s v="Yes"/>
    <s v="Planned"/>
    <s v="SIEM and SOAR Solutions "/>
    <s v="Wagieh Sheira"/>
    <x v="0"/>
    <s v="Accepted – Ready for Pilot"/>
    <s v="Mature, well-documented use case. ML-based threat detection with quantified MTTD improvement (4–6 hours → 15–30 minutes). Named owner (Wagieh Sheira), confirmed tooling (SIEM/SOAR), clear implementation steps, strong commercial justification. No blocking gaps."/>
    <s v="High feasibility. Behavioral anomaly detection + threat scoring on SIEM data is production-proven. Risk: model retraining cadence and feedback loop must be operational before go-live to prevent model drift. False positive management is critical."/>
    <s v="1) Ingest SIEM/IDS/firewall/DNS/endpoint logs. 2) Build behavioral baselines per user, host, network segment. 3) Train anomaly detection and threat-scoring models. 4) Integrate with SOAR for automated response playbooks (IP block, endpoint quarantine, escalation). 5) Weekly model retraining from analyst feedback. 6) Go-live with pilot managed security client. 7) KPI: MTTD before vs after; false positive rate; analyst escalation volume."/>
    <m/>
    <m/>
    <m/>
    <m/>
    <x v="0"/>
    <s v="Accepted – Ready for Pilot"/>
    <x v="0"/>
  </r>
  <r>
    <n v="25"/>
    <x v="2"/>
    <s v="ECC"/>
    <s v="CS-AI-02"/>
    <s v="Vulnerability Assessment &amp; Prioritization Intelligence"/>
    <s v="Use AI to automatically assess, prioritize, and recommend remediation for vulnerabilities, transforming reactive scanning into proactive risk intelligence"/>
    <n v="46079.448238541663"/>
    <s v="Testing"/>
    <s v="Security Assessment"/>
    <s v="Risk Based Vulnerabilities Assessment and prioritization "/>
    <s v="40 Hours/Scan"/>
    <s v="2 Hours/Scan"/>
    <s v="• Differentiates service offering: Customers expect basic scanning; AI-driven prioritization is a premium feature_x000a_• Justifies higher pricing: Customers pay 20–35% more for intelligent remediation guidance_x000a_• Reduces customer risk: Prioritized remediation focus improves security posture measurably_x000a_• Minimizes liability: AI audit trails document why vulnerabilities were prioritized, supporting regulatory compliance"/>
    <s v="NA"/>
    <s v="Data Integration:_x000a_•_x0009_Ingest vulnerability scan data (Nessus, Qualys, OpenVAS) with CVE details_x000a_• Layer in threat intelligence (active exploits, threat actors, malware signatures)_x000a_• Map to customer asset inventory, network segmentation, and business criticality_x000a_AI Prioritization Engine:_x000a_• Risk Score: ML model combines CVSS, exploit availability, asset criticality, and network exposure_x000a_• Contextual Ranking: Ranks vulns relative to customer's threat profile and control maturity_x000a_• Remediation Roadmap: Suggests fix order balancing effort, impact, and timeline_x000a_Actionable Outputs:_x000a_• Executive Dashboard: Risk trends, top vulns, and fix progress over time_x000a_• Remediation Playbooks: Auto-generated step-by-step guidance for each vulnerability_x000a_• Compliance Mapping: Links vulns to regulatory requirements (PCI-DSS, NCA, PDPL, SAMA CSF, CST CRF)"/>
    <s v="• Differentiates service offering: Customers expect basic scanning; AI-driven prioritization is a premium feature_x000a_• Justifies higher pricing: Customers pay 20–35% more for intelligent remediation guidance_x000a_• Reduces customer risk: Prioritized remediation focus improves security posture measurably_x000a_• Minimizes liability: AI audit trails document why vulnerabilities were prioritized, supporting regulatory compliance"/>
    <s v="Wagieh Sheira"/>
    <m/>
    <s v="Yes"/>
    <s v="Planned"/>
    <s v="AI-Powered Vulnerability Scanning Tools"/>
    <s v="Wagieh Sheira"/>
    <x v="0"/>
    <s v="Accepted – Ready for Pilot"/>
    <s v="Premium security use case. AI prioritizes vulnerabilities by combining CVSS, threat intel, asset criticality, and network exposure. Named owner (Wagieh Sheira), effort baseline (40 hours → 2 hours per scan), confirmed tooling. No blocking gaps."/>
    <s v="High feasibility. Vulnerability data is structured and well-suited to AI prioritization. Risk: over-reliance on AI ranking if threat intel feeds are stale. Mitigation: weekly threat intel refresh; analyst review of top-10 vulnerabilities before customer report is issued."/>
    <s v="1) Ingest scan data from Nessus/Qualys/OpenVAS with CVE metadata. 2) Layer threat intel feeds (active exploit data, CISA KEV). 3) Map to asset inventory and business criticality register. 4) AI generates risk-ranked prioritization with remediation roadmap. 5) Map to NCA/PDPL/SAMA CSF/PCI-DSS compliance controls. 6) Produce executive dashboard + per-vuln remediation playbooks. 7) Pilot with one scan cycle for a managed security client."/>
    <m/>
    <m/>
    <m/>
    <m/>
    <x v="0"/>
    <s v="Accepted – Ready for Pilot"/>
    <x v="0"/>
  </r>
  <r>
    <n v="26"/>
    <x v="2"/>
    <s v="ECC"/>
    <s v="CS-AI-03"/>
    <s v="AI-Driven Compliance Automation &amp; Audit Readiness"/>
    <s v="Deploy AI to continuously monitor security controls against regulatory frameworks (NCA, PDPL, SAMA CSF and CST CRF, ISO 27001,PCI-DSS), auto-generate audit evidence, and provide real-time compliance gap analysis — transforming compliance from a periodic, manual burden into a continuous, automated capability."/>
    <n v="46079.448238541663"/>
    <s v="Testing"/>
    <s v="Security Assessment"/>
    <s v="Compliance Check"/>
    <s v="6-12 Weeks"/>
    <s v="1-2 weeks"/>
    <s v="• Addresses massive market pain: Compliance prep consumes 30–40% of internal security team time; customers pay premium to offload it_x000a_• High-margin recurring revenue: Compliance-as-a-Service contracts can achieve 70–80% gross margins once automated_x000a_• Sticky customer relationships: Compliance data residency creates high switching costs, dramatically improving net revenue retention_x000a_• Multi-framework leverage: AI maps controls once; re-uses evidence across  NCA, PDPL, SAMA CSF and CST CRF, ISO 27001,PCI-DSS  simultaneously, multiplying efficiency"/>
    <s v="NA"/>
    <s v="Continuous Control Monitoring:_x000a_• Ingest configuration data from cloud environments (AWS, Azure, GCP), SaaS tools, identity providers, and endpoint management platforms_x000a_• Map configurations to compliance control requirements in real time; alert when controls drift out of compliance_x000a_AI Evidence Collection &amp; Generation:_x000a_• Auto-collect and tag audit evidence (screenshots, config exports, log samples) and store in auditor-ready format organized by control_x000a_• NLP model drafts policy documents, risk assessments, and control narratives based on observed configurations and control evidence_x000a_• Gap Analysis Engine: ML identifies missing controls, suggests remediation priority, and estimates effort to achieve certification readiness"/>
    <s v="• Addresses massive market pain: Compliance prep consumes 30–40% of internal security team time; customers pay premium to offload it_x000a_• High-margin recurring revenue: Compliance-as-a-Service contracts can achieve 70–80% gross margins once automated_x000a_• Sticky customer relationships: Compliance data residency creates high switching costs, dramatically improving net revenue retention_x000a_• Multi-framework leverage: AI maps controls once; re-uses evidence across  NCA, PDPL, SAMA CSF and CST CRF, ISO 27001,PCI-DSS  simultaneously, multiplying efficiency"/>
    <s v="Wagieh Sheira"/>
    <m/>
    <s v="No"/>
    <s v="Planned"/>
    <s v="Service NOW GRC _x000a_Sprinto"/>
    <s v="Wagieh Sheira"/>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27"/>
    <x v="2"/>
    <s v="ECC"/>
    <s v="CS-AI-04"/>
    <s v="AI-Powered Policy, Standards &amp; Framework Generation"/>
    <s v="LLM automatically generates customized security policies, control frameworks, and compliance roadmaps aligned to NCA, PDPL, SAMA CSF and CST CRF, ISO 27001,PCI-DSS,..etc"/>
    <n v="46079.448238541663"/>
    <s v="NA"/>
    <s v="Security Governance"/>
    <s v="Governance Dccumentation"/>
    <s v="8-12 Weeks"/>
    <s v="2-3 Weeks"/>
    <s v="• Opens new market segment: Small to mid-market (SMB) companies lack dedicated compliance teams and are willing to outsource policy creation_x000a_• Recurring revenue opportunity: Quarterly/Annually policy reviews and updates based on regulatory changes, law changes, or risk shifts create subscription-like revenue model (SAR 5K–SAR 15K per update)_x000a_• Scales with minimal effort: After initial customer context gathering, AI generates customized framework in days; human review &amp; iteration in weeks instead of months_x000a_• Improves quality &amp; consistency: LLM-generated policies are grounded in regulatory text, reducing legal gaps and ensuring alignment with latest standards_x000a_• Reduces liability: AI-generated policies cite specific regulatory sources, creating transparent audit trail that satisfies auditors and regulators"/>
    <m/>
    <s v="Data &amp; Knowledge Foundation:_x000a_• Ingest regulatory texts_x000a_• Create mappings: Build cross-reference matrices linking controls across frameworks _x000a_• Template library: Develop industry-specific templates (financial, healthcare, CNI, ...) with common policies, procedures, and control descriptions_x000a_AI Policy Generation Engine:_x000a_• Customer Intake: Capture organizational profile (industry, size, regulated data types, existing compliance posture, risk appetite)_x000a_• LLM-Generated Draft: Fine-tuned GPT-4 or similar model generates full policy document tailored to customer context, regulation, and control objectives_x000a_• Regulatory Alignment: AI verifies that each control statement aligns with source framework requirements and cites specific regulation/standard_x000a_• Iteration &amp; Refinement: Customer and compliance expert review draft; feedback is fed back to model for iterative improvement_x000a_Deliverables:_x000a_• Customized Security Policy Handbook: Complete policy document covering access control, data classification, incident response, vendor management, etc._x000a_• Control Mapping Matrix: Spreadsheet cross-referencing controls across chosen frameworks _x000a_• Compliance Roadmap: Timeline for control implementation and evidence collection_x000a_• Evidence Templates: Ready-to-use checklists and documentation templates for demonstrating control compliance_x000a_• Regulatory Impact Analysis: Summary of recent regulation/standard changes relevant to customer"/>
    <s v="• Opens new market segment: Small to mid-market (SMB) companies lack dedicated compliance teams and are willing to outsource policy creation_x000a_• Recurring revenue opportunity: Quarterly/Annually policy reviews and updates based on regulatory changes, law changes, or risk shifts create subscription-like revenue model (SAR 5K–SAR 15K per update)_x000a_• Scales with minimal effort: After initial customer context gathering, AI generates customized framework in days; human review &amp; iteration in weeks instead of months_x000a_• Improves quality &amp; consistency: LLM-generated policies are grounded in regulatory text, reducing legal gaps and ensuring alignment with latest standards_x000a_• Reduces liability: AI-generated policies cite specific regulatory sources, creating transparent audit trail that satisfies auditors and regulators"/>
    <s v="Wagieh Sheira"/>
    <m/>
    <s v="No"/>
    <s v="Planned"/>
    <s v="Claude/ChatGPT/Gemini/Copilot"/>
    <s v="Wagieh Sheira"/>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28"/>
    <x v="3"/>
    <m/>
    <s v="DCX-AI-001"/>
    <s v="Login Screen Generator"/>
    <s v="Generate a Login screen (React Native)"/>
    <n v="46048"/>
    <s v="Development"/>
    <s v="Frontend"/>
    <s v="UI Scaffolding"/>
    <s v="2 Man-days"/>
    <s v="1 man day"/>
    <s v="30% faster, generates screen using AI instead of writing components manually"/>
    <n v="3"/>
    <s v="write proper prompt with screen shot from Figma to create the UI screen "/>
    <m/>
    <s v="Yazan Alhusamia"/>
    <m/>
    <s v="No"/>
    <s v="Implemented"/>
    <s v="claude"/>
    <s v="Mohannad Azzi"/>
    <x v="2"/>
    <s v="Not Accepted – Better as Design System Automation / UI Accelerator"/>
    <s v="This is a valid engineering productivity scenario, but in its current form it is mainly deterministic UI generation based on an existing design system, Figma reference, and predefined components. The real value comes from scaffolding speed, component reuse, and developer productivity rather than governed AI intelligence. AI can draft initial React Native screen code, but compliance with design tokens, accessibility, responsive behavior, navigation patterns, and integration rules still depends on controlled frontend engineering practices."/>
    <s v="High doability operationally; Low-Medium AI fit. Very feasible as a delivery accelerator, but weak as a governed AI use case because it is primarily structured UI scaffolding rather than intelligent decision support."/>
    <s v="Use as a frontend delivery accelerator. Allow AI to generate the first-pass screen structure from Figma screenshots and component guidance, but require design-system validation, accessibility review, code review, and QA before merge. Re-submit only if the scope expands into automated UX conformance checks, accessibility analysis, or design-quality review."/>
    <s v="40-50%"/>
    <s v=" "/>
    <s v="implelemted"/>
    <s v=" "/>
    <x v="1"/>
    <s v="Case remains Not Accepted because reassessment confirms the core value is UI scaffolding and component reuse, not a differentiated AI adoption case. The revised wording makes the reason clearer and better aligned with DCX frontend delivery reality."/>
    <x v="0"/>
  </r>
  <r>
    <n v="29"/>
    <x v="3"/>
    <m/>
    <s v="DCX-AI-002"/>
    <s v="OTP Screen Refactoring"/>
    <s v="Refactor complex screen"/>
    <n v="46048"/>
    <s v="Development"/>
    <s v="Frontend Refactoring"/>
    <s v="Code Modernization"/>
    <s v="4 man-days"/>
    <s v="2 man-days"/>
    <s v="enhance performance for complex screen and make code readable before Raise PR"/>
    <n v="10"/>
    <s v="write proper prompt to explain the current development and extract to sub components and screen"/>
    <m/>
    <s v="Ahmad Ammoura"/>
    <m/>
    <s v="No"/>
    <s v="Implemented"/>
    <s v="claude"/>
    <s v="Mohannad Azzi"/>
    <x v="1"/>
    <s v="Need More Elaboration – Reframe as AI-Assisted Frontend Refactoring and Code Quality Review"/>
    <s v="Refactoring complex frontend screens is not strong AI adoption if framed only as “rewrite code faster.” However, AI does have credible value if the case is scoped to decomposition suggestions, code smell detection, maintainability improvement, duplication identification, readability enhancement, and pre-PR engineering guidance. The row should move from raw code rewrite to AI-assisted modernization and code quality support."/>
    <s v="High doability operationally; Medium AI fit if quality-focused. Strong practical value in frontend engineering, but AI value is valid only when focused on analysis, decomposition, and maintainability guidance rather than blind refactoring."/>
    <s v="Reframe as an AI-assisted refactoring advisor. Use AI to suggest component extraction, simplify logic, identify duplication, explain complexity hotspots, and propose cleaner structure before PR. Keep implementation decisions and merge approval fully with the engineer and the normal review process."/>
    <s v="40-50%"/>
    <s v=" "/>
    <s v="implelemted"/>
    <s v=" "/>
    <x v="1"/>
    <s v="Updated from Not Accepted because the original wording made it look like pure code rewrite automation. After reassessment, the case shows valid AI-assisted applicability in code quality analysis and refactoring support, but it still needs tighter scope before acceptance."/>
    <x v="0"/>
  </r>
  <r>
    <n v="30"/>
    <x v="3"/>
    <m/>
    <s v="DCX-AI-003"/>
    <s v="Internal Transfer API Integration"/>
    <s v="Generate API service, DTOs, error handling, retry logic"/>
    <n v="46048"/>
    <s v="Development"/>
    <s v="Backend"/>
    <s v="API Integration"/>
    <s v="3 Man-days"/>
    <s v="2 man-days"/>
    <s v="20% faster than creates manual API adapters to communicate with backend,  and helps in mocks integrations before API is ready"/>
    <n v="10"/>
    <s v="send the swagger and screen components to AI tools to gets the adapters and integrations"/>
    <m/>
    <s v="Kareem Shehab"/>
    <m/>
    <s v="No"/>
    <s v="Implemented"/>
    <s v="claude"/>
    <s v="Mohannad Azzi"/>
    <x v="1"/>
    <s v="Need More Elaboration – Reframe as AI-Assisted API Adapter Generation and Integration Support"/>
    <s v="Generating service layers, DTOs, mocks, retry logic, and error handling from Swagger/OpenAPI is technically useful, but much of it is still standard code generation that can be addressed through SDK generators, templates, or shared integration libraries. AI becomes more relevant when the scope includes interpreting incomplete specs, summarizing API contract gaps, generating mocks before readiness, recommending integration patterns, and explaining exception-handling strategies."/>
    <s v="High doability operationally; Medium AI fit. Strong engineering applicability, but the use case needs clearer separation between ordinary code generation and real AI-assisted reasoning."/>
    <s v="Reframe as AI-assisted integration engineering. Use AI to draft adapters, mapping logic, mocks, retry patterns, and contract summaries from Swagger plus screen context and business flow. Pair this with contract validation, integration tests, and code review. Do not position simple DTO/service generation alone as a governed AI use case."/>
    <s v="15-30%"/>
    <s v=" "/>
    <s v="implelemted"/>
    <s v=" "/>
    <x v="1"/>
    <s v="Updated from Not Accepted because the reassessment found valid AI value in contract interpretation, mock generation, and integration reasoning beyond normal code scaffolding. It still needs tighter framing before it can move into accepted status."/>
    <x v="0"/>
  </r>
  <r>
    <n v="31"/>
    <x v="3"/>
    <m/>
    <s v="DCX-AI-004"/>
    <s v="API Contract &amp; Swagger Generator"/>
    <s v="Generate OpenAPI specs from code or vice versa"/>
    <n v="46048"/>
    <s v="Design"/>
    <s v="Backend"/>
    <s v="Documentation"/>
    <s v="10 man days"/>
    <s v="6 man days"/>
    <s v="40% faster than writing the swaggers and services manually"/>
    <n v="3"/>
    <s v="send input and expected output to AI tool to get the swagger interfaces and service,"/>
    <m/>
    <s v="Ahmed Mashaly"/>
    <m/>
    <s v="No"/>
    <s v="Implemented"/>
    <s v="claude"/>
    <s v="Mohannad Azzi"/>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30-40%"/>
    <m/>
    <s v="implelemted"/>
    <m/>
    <x v="2"/>
    <s v="Updated from More Elaboration Needed to Accepted Idea because the row now provides enough business value, AI fit, feasibility, and implementation readiness to move forward under governed review."/>
    <x v="0"/>
  </r>
  <r>
    <n v="32"/>
    <x v="3"/>
    <m/>
    <s v="DCX-AI-005"/>
    <s v="Form &amp; Validation Generator"/>
    <s v="Generate complex forms with validation &amp; error messages"/>
    <n v="46048"/>
    <s v="Development"/>
    <s v="Frontend"/>
    <s v="UX Components"/>
    <s v="5 Man-Days"/>
    <s v="4 man days"/>
    <s v="30% faster, generates all required and validations for input fileds and components in frontend"/>
    <n v="3"/>
    <s v="write proper pormpt to AI to gets the valid and all validations for inputs with full description for each input what is the expected results with samples"/>
    <m/>
    <s v="Ahmad Shaltouny"/>
    <m/>
    <s v="No"/>
    <s v="Implemented"/>
    <s v="claude"/>
    <s v="Mohannad Azzi"/>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20-30%"/>
    <m/>
    <s v="implelemted"/>
    <m/>
    <x v="2"/>
    <s v="Updated from More Elaboration Needed to Accepted Idea because the row now provides enough business value, AI fit, feasibility, and implementation readiness to move forward under governed review."/>
    <x v="0"/>
  </r>
  <r>
    <n v="33"/>
    <x v="3"/>
    <m/>
    <s v="DCX-AI-006"/>
    <s v="Error Handling &amp; Logging Standardizer"/>
    <s v="Inject unified logging &amp; exception handling"/>
    <n v="46048"/>
    <s v="Development"/>
    <s v="Backend"/>
    <s v="Observability"/>
    <s v="2 Man-days"/>
    <s v="1 man day"/>
    <s v="10% faster, which generates generals logger and exception handler for APIs to collect all required for debugging if any issues appears"/>
    <n v="5"/>
    <s v="write proper prompt to AI to get all possible data and enhancement from frauds and secure all request sent from frontend, also to get the needed info for debugging"/>
    <m/>
    <s v="Mohannad Azzi"/>
    <m/>
    <s v="No"/>
    <s v="Implemented"/>
    <s v="claude"/>
    <s v="Mohannad Azzi"/>
    <x v="1"/>
    <s v="Need More Elaboration – Reframe as AI-Assisted Observability and Exception Design Support"/>
    <s v="Injecting standardized logging and exception handling is mostly a platform engineering and backend standards problem. In its current form, it is not a strong standalone AI use case. However, AI can add value if the case is reframed toward identifying missing observability fields, recommending structured log design, classifying exception categories, highlighting security/privacy concerns in logs, and suggesting debugging metadata based on service context."/>
    <s v="High doability operationally; Medium AI fit if observability-focused. The implementation itself is deterministic, but AI can support better observability design, consistency, and debugging readiness when properly scoped."/>
    <s v="Reframe as AI-assisted observability design support. Use AI to recommend log structures, correlation fields, exception taxonomy, and debugging metadata for APIs, while enforcement stays in shared middleware, templates, and backend standards. Keep execution rule-based and controlled through approved backend frameworks."/>
    <s v="10-20%"/>
    <s v=" "/>
    <s v="implelemted"/>
    <s v=" "/>
    <x v="1"/>
    <s v="Updated from Not Accepted because the original row focused only on code injection and standardization. After reassessment, the use case shows valid AI-assisted applicability in observability design, exception classification, and debugging intelligence, but it still needs a narrower scope before acceptance."/>
    <x v="0"/>
  </r>
  <r>
    <n v="34"/>
    <x v="3"/>
    <m/>
    <s v="DCX-FIFS-AI-01"/>
    <s v="Microservices Dependency Mapper"/>
    <s v="AI that analyzes service interactions, API calls, and data flows to automatically generate microservices dependency graphs and identify potential bottlenecks"/>
    <s v="TBD"/>
    <s v="Architecture"/>
    <s v="System Design"/>
    <s v="Architecture Visualization"/>
    <s v="12-15 hours per architecture review (manual mapping)"/>
    <s v="2-3 hours (AI-generated dependency maps)"/>
    <s v="80% reduction in architecture documentation time; better optimization insights"/>
    <s v="TBD"/>
    <s v="Run analysis on production/log data; validate with architects; identify optimization opportunities"/>
    <s v="Essential for complex microservices environments"/>
    <s v="Architects, Tech Leads"/>
    <s v="Supports performance optimization efforts"/>
    <m/>
    <s v="Planned"/>
    <m/>
    <s v="Mohannad Azzi"/>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60%"/>
    <m/>
    <s v="End of May"/>
    <m/>
    <x v="2"/>
    <s v="Updated from More Elaboration Needed to Accepted Idea because the row now provides enough business value, AI fit, feasibility, and implementation readiness to move forward under governed review."/>
    <x v="0"/>
  </r>
  <r>
    <n v="35"/>
    <x v="3"/>
    <m/>
    <s v="DCX-FIFS-AI-02"/>
    <s v="Regulatory Compliance Checker"/>
    <s v="AI-powered scanning of code and configuration files to identify potential regulatory compliance issues (GDPR, PCI-DSS, SOX) before deployment"/>
    <s v="TBD"/>
    <s v="Testing"/>
    <s v="Compliance QA Testing"/>
    <s v="Regulatory Validation"/>
    <s v="8-10 hours per release (manual compliance reviews)"/>
    <s v="1-2 hours per release (AI-assisted compliance scanning)"/>
    <s v="80% reduction in compliance review time; reduced regulatory risk"/>
    <s v="TBD"/>
    <s v="Integrate with CI/CD pipeline; define compliance rules database; AI flags potential violations for human review"/>
    <s v="Proactive compliance reduces audit findings and remediation costs"/>
    <s v="Compliance Team, Developers"/>
    <s v="Critical for FinTech regulatory environment"/>
    <s v="Yes"/>
    <s v="Planned"/>
    <s v="Microsoft Copilot "/>
    <s v="Mohannad Azzi"/>
    <x v="0"/>
    <s v="Accepted – Ready for Pilot"/>
    <s v="Well-defined compliance QA use case. AI scans code and configs for GDPR/PCI-DSS/SOX violations before deployment. Effort from 8–10 hours to 1–2 hours per release (80%). Owners identified (Compliance Team, Developers), tool confirmed (Copilot), CI/CD integration is the right delivery model. No blocking gaps."/>
    <s v="High feasibility. Code scanning for compliance patterns is a reliable AI use case. Risk: AI may produce false positives on complex data-handling patterns. Mitigation: compliance team validates all AI-flagged items before blocking a release; maintain false-positive log to tune rules."/>
    <s v="1) Define compliance rule database: GDPR data handling, PCI-DSS cardholder data, SOX financial control patterns. 2) Integrate AI compliance scanner into CI/CD as a quality gate. 3) AI flags potential violations with severity and regulatory reference. 4) Developer addresses or documents exception. 5) Compliance team reviews flagged items before release approval. 6) KPI: compliance review time per release; regulatory findings in production."/>
    <s v="70-80%"/>
    <m/>
    <s v="End of May"/>
    <m/>
    <x v="0"/>
    <s v="Accepted – Ready for Pilot"/>
    <x v="0"/>
  </r>
  <r>
    <n v="36"/>
    <x v="3"/>
    <m/>
    <s v="DCX-FIFS-AI-03"/>
    <s v="API Contract Testing Generator"/>
    <s v="AI that analyzes OpenAPI/Swagger specifications and automatically generates comprehensive contract tests, including edge cases and negative scenarios"/>
    <s v="TBD"/>
    <s v="Testing"/>
    <s v="API Testing"/>
    <s v="Contract Testing"/>
    <s v="4-6 hours per API (manual test creation)"/>
    <s v="1-2 hours (AI-generated test suite)"/>
    <s v="70% faster API testing; improved test coverage"/>
    <s v="TBD"/>
    <s v="Feed API specifications to AI; review generated tests; integrate with CI/CD"/>
    <s v="Ensures API reliability in microservices architecture"/>
    <s v="QA Engineers, API Developers"/>
    <s v="Supports API-first development"/>
    <m/>
    <m/>
    <m/>
    <s v="Mohannad Azzi"/>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s v="60-70%"/>
    <m/>
    <s v="End of May"/>
    <m/>
    <x v="2"/>
    <s v="Updated from More Elaboration Needed to Accepted Idea because the row now provides enough business value, AI fit, feasibility, and implementation readiness to move forward under governed review."/>
    <x v="0"/>
  </r>
  <r>
    <n v="37"/>
    <x v="3"/>
    <m/>
    <s v="DCX-FIFS-AI-04"/>
    <s v="Accessibility Compliance Checker"/>
    <s v="AI that scans frontend code and UI components for accessibility issues (WCAG 2.1 compliance) and suggests fixes for users with disabilities"/>
    <s v="TBD"/>
    <s v="Development"/>
    <s v="Frontend"/>
    <s v="Accessibility"/>
    <s v="4-6 hours per screen (manual accessibility testing)"/>
    <s v="1-2 hours (AI-assisted scanning + fixes)"/>
    <s v="70% faster accessibility compliance; improved inclusive design"/>
    <s v="TBD"/>
    <s v="Define WCAG standards; AI scans components; developers implement fixes; validate with tools"/>
    <s v="Ensures applications are accessible to all users"/>
    <s v="Frontend Developers, UX Designers"/>
    <s v="Increasing regulatory focus on digital accessibility"/>
    <s v="Yes"/>
    <s v="Planned"/>
    <s v="Microsoft Copilot "/>
    <s v="Mohannad Azzi"/>
    <x v="0"/>
    <s v="Accepted – Ready for Pilot"/>
    <s v="Clear accessibility compliance use case. AI scans frontend code for WCAG 2.1 issues and suggests fixes. Effort from 4–6 hours to 1–2 hours per screen (70%). Owners identified, tool confirmed (Copilot). Note: AI is for preliminary scanning — formal validation with screen readers remains mandatory."/>
    <s v="High feasibility. WCAG pattern matching is well-suited to AI code analysis. Risk: AI may miss dynamic accessibility issues (focus management, ARIA live regions under interaction). Mitigation: AI is a pre-review gate; formal accessibility testing with assistive technology remains required before release."/>
    <s v="1) Define WCAG 2.1 AA rule set for scanning context. 2) AI scans component code for: contrast issues, missing ARIA labels, keyboard focus gaps, semantic HTML violations. 3) Developer implements AI-suggested fixes. 4) Validate with contrast checker + screen reader (NVDA/VoiceOver). 5) Integrate scanner into PR review workflow. 6) KPI: accessibility issues per screen before vs after; time to WCAG compliance per feature."/>
    <s v="40-50%"/>
    <m/>
    <s v="end of april"/>
    <m/>
    <x v="0"/>
    <s v="Accepted – Ready for Pilot"/>
    <x v="0"/>
  </r>
  <r>
    <n v="38"/>
    <x v="3"/>
    <m/>
    <s v="DCX-FIFS-AI-05"/>
    <s v="Release Notes Generator"/>
    <s v="AI that analyzes commits, PR descriptions, and Jira tickets to automatically generate comprehensive, user-friendly release notes"/>
    <s v="TBD"/>
    <s v="Deployment"/>
    <s v="Documentation"/>
    <s v="Release Management"/>
    <s v="2-3 hours per release (manual compilation)"/>
    <s v="0.5 hours (AI-generated draft + review)"/>
    <s v="75% faster release documentation; more consistent communication"/>
    <s v="TBD"/>
    <s v="Integrate with version control and project management; AI categorizes changes; PM reviews"/>
    <s v="Improves stakeholder communication"/>
    <s v="Release Managers, PMs"/>
    <s v="Reduces manual overhead in releases"/>
    <m/>
    <s v="Planned"/>
    <m/>
    <s v="Mohannad Azzi"/>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s v="60-70%"/>
    <m/>
    <s v="end of april"/>
    <m/>
    <x v="2"/>
    <s v="Updated from More Elaboration Needed to Accepted Idea because the row now provides enough business value, AI fit, feasibility, and implementation readiness to move forward under governed review."/>
    <x v="0"/>
  </r>
  <r>
    <n v="39"/>
    <x v="3"/>
    <m/>
    <s v="DCX-FIFS-AI-06"/>
    <s v="Migration Script Generator"/>
    <s v="AI that analyzes source and target database schemas and automatically generates data migration scripts with transformation logic"/>
    <s v="TBD"/>
    <s v="Development"/>
    <s v="Database"/>
    <s v="Data Migration"/>
    <s v="8-12 hours per migration (manual script writing)"/>
    <s v="2-3 hours (AI-generated scripts + validation)"/>
    <s v="75% faster migration script development; reduced errors"/>
    <s v="TBD"/>
    <s v="Provide source/target schemas; AI generates transformation logic; test thoroughly"/>
    <s v="Essential for system upgrades and cloud migrations"/>
    <s v="Database Developers"/>
    <s v="Supports modernization initiatives"/>
    <s v="Yes"/>
    <s v="Planned"/>
    <s v="Microsoft Copilot "/>
    <s v="Mohannad Azzi"/>
    <x v="0"/>
    <s v="Accepted – Ready for Pilot"/>
    <s v="Well-scoped database migration use case. AI analyzes source and target schemas and generates migration scripts with transformation logic. Effort from 8–12 hours to 2–3 hours per migration (75%). Owners identified, tool confirmed (Copilot). Ready for pilot in staging environment."/>
    <s v="High feasibility for schema-driven migration script generation. Risk: AI-generated scripts may have incorrect transformation logic for complex business rules in the source schema. Mitigation: mandatory staging environment testing with data validation assertions before any production migration."/>
    <s v="1) Export source and target schema DDL. 2) Feed schemas + business rules to AI. 3) AI generates migration scripts: DDL changes, data transformation, referential integrity handling. 4) DBA reviews transformation logic against business rules. 5) Test migration in staging with representative data. 6) Validate data completeness and integrity post-migration. 7) KPI: script generation time before vs after; migration test cycles needed."/>
    <s v="70-80%"/>
    <m/>
    <s v="End of May"/>
    <m/>
    <x v="0"/>
    <s v="Accepted – Ready for Pilot"/>
    <x v="0"/>
  </r>
  <r>
    <n v="40"/>
    <x v="3"/>
    <m/>
    <s v="DCX-FIS-AI-06"/>
    <s v="Deduplication of Customer Data "/>
    <s v="probably a On prem AI Model which can learn and understand the duplicate customers based on the multi-parameter match Example after CMA Enabled Global Onboarding there can be customers Onboarded with Saudi Resident or GCC resident IDs as well as with the Passport from respective home country So this tool can learn the KYC submitted data related to ID , passport details, names , geneter , country of birth and narrow down that the same user onboarded twice. This is more critial by considering enabling global outreach without compromising the Compliance and AML requirements. "/>
    <s v="TBD"/>
    <s v="Analysis"/>
    <s v="Onboarding "/>
    <s v="Onboarding "/>
    <s v="Mutiple Manual checks and decision making is difficult to update or block the customer . probably 5 to 10 mandays end to end process "/>
    <s v="Identification can happen in less than 10 minutes and decisiion making can happen in less than an hour"/>
    <s v="Compliance and regulatory requirements_x000a_Avoid regulatory issues as well as penaties "/>
    <s v="Around 20 + Capital Market instituions in Saudi and other used cases in Fintech"/>
    <s v="-Define &amp; standardize key data (ID, name, DOB, nationality)_x000a_-Apply fuzzy/ML matching to generate duplicate scores_x000a_-Flag high-confidence matches using thresholds_x000a_-Route to compliance for manual approval_x000a_-Maintain audit trail + monitor accuracy (false positives)  "/>
    <m/>
    <s v="full stake developers "/>
    <m/>
    <s v="Yes"/>
    <s v="Planned"/>
    <s v="Microsoft Copilot "/>
    <s v="Mohannad Azzi"/>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70-80%"/>
    <m/>
    <s v="end of april"/>
    <m/>
    <x v="2"/>
    <s v="Updated from More Elaboration Needed to Accepted Idea because the row now provides enough business value, AI fit, feasibility, and implementation readiness to move forward under governed review."/>
    <x v="0"/>
  </r>
  <r>
    <n v="41"/>
    <x v="3"/>
    <m/>
    <s v="UX-AI-001"/>
    <s v="Develop Figma Plugin - RTL "/>
    <s v="Used AI to support building a plugin script that speeds up the Arabic design conversion process, especially translation-related updates and RTL layout shifting, reducing manual effort and improving consistency."/>
    <n v="46064"/>
    <s v="Design"/>
    <s v="Design"/>
    <s v="UX/UI"/>
    <s v="24 man days"/>
    <s v="7 Man-days"/>
    <s v="EDS includes ~32 components. A manual RTL conversion with translation for this scope typically takes ~25 man-days. Using our AI-supported workflow, we reduced the effort by 71% and completed the task in 6 man-days."/>
    <n v="2"/>
    <s v="write prompt script to AI tool and send current layout to flip into another orientation"/>
    <m/>
    <s v="Designer / Maher Nahla"/>
    <s v="Subscriptions "/>
    <s v="Yes"/>
    <s v="Implemented"/>
    <s v="Claude, ChatGPT, Figma, Figma Make"/>
    <s v="Mohannad Azzi"/>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 to 70%"/>
    <m/>
    <s v="implelemted"/>
    <n v="3"/>
    <x v="2"/>
    <s v="Updated from More Elaboration Needed to Accepted Idea because the row now provides enough business value, AI fit, feasibility, and implementation readiness to move forward under governed review."/>
    <x v="0"/>
  </r>
  <r>
    <n v="42"/>
    <x v="3"/>
    <m/>
    <s v="UX-AI-002"/>
    <s v="Design inspiratoin "/>
    <s v="Use AI to generate design inspiration directions, _x000a_visual references, layout ideas, and alternative concepts based _x000a_on product goals, target users, and brand style. Helps speed up_x000a_ early ideation before moving to high-fidelity design."/>
    <m/>
    <s v="Design"/>
    <s v="Design / Productivity"/>
    <s v="Inspiration &amp; _x000a_Concept Exploration"/>
    <s v="2 Man-days"/>
    <s v="6–8 hrs"/>
    <s v="Faster ideation, more concept options, better exploration quality in less time"/>
    <n v="3"/>
    <s v="Start with clear prompt (goal, audience, brand, platform). Generate 3–5 directions, then shortlist and refine manually in Figma. Validate against design system and business needs."/>
    <m/>
    <s v="UI/UX Designers"/>
    <s v="Subscriptions "/>
    <m/>
    <s v="In Progress"/>
    <m/>
    <s v="Mohannad Azzi"/>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40-50%"/>
    <m/>
    <s v="end of april"/>
    <m/>
    <x v="2"/>
    <s v="Updated from More Elaboration Needed to Accepted Idea because the row now provides enough business value, AI fit, feasibility, and implementation readiness to move forward under governed review."/>
    <x v="0"/>
  </r>
  <r>
    <n v="43"/>
    <x v="3"/>
    <m/>
    <s v="UX-AI-003"/>
    <s v="Figma Console MCP"/>
    <s v="Use AI with Figma MCP / Console workflows to read design data, inspect components/variables, and assist in generating scripts or structured outputs (tokens, specs, mappings) that speed up design-system operations and repetitive UI tasks."/>
    <m/>
    <s v="Design"/>
    <s v="Design / Automation"/>
    <s v="Figma Integration / MCP"/>
    <s v="8–16 hrs"/>
    <s v="2–5 hrs"/>
    <s v="Reduced manual inspection and repetitive setup work, faster design-system operations, improved consistency"/>
    <n v="1"/>
    <s v="Define exact task scope (e.g., variables extraction, component mapping, RTL prep). Use controlled prompts. Review all outputs before applying to production files."/>
    <s v="AI + MCP is highly effective when the request is specific and structured."/>
    <s v="UI/UX + Front-end"/>
    <s v="Works best with standardized naming in design system components and variables."/>
    <s v="Yes"/>
    <s v="In Progress"/>
    <s v="Figma MCP"/>
    <s v="Mohannad Azzi"/>
    <x v="0"/>
    <s v="Accepted – Ready for Implementation"/>
    <s v="In-progress use case: AI + Figma MCP to read design data, inspect components/variables, generate structured outputs (tokens, specs, mappings). Effort from 8–16 hours to 2–5 hours. Owners identified, tool confirmed (Figma MCP). Set Selected=Yes."/>
    <s v="High feasibility. Figma MCP provides structured API access to design data — reliable foundation for automating repetitive design-system tasks. Risk: broad Figma access prompts could produce unreliable outputs. Mitigation: tightly controlled prompt library per task type."/>
    <s v="1) Define exact task scope per workflow (variables extraction, component mapping, RTL prep, spec generation). 2) Build controlled prompt library for each task type. 3) Validate all outputs before applying to production Figma files. 4) Log time saved per workflow type. 5) Expand to new task types based on adoption feedback. 6) KPI: time per design-system operation before vs after; adoption count across DCX projects."/>
    <s v="60-70%"/>
    <m/>
    <s v="end of april"/>
    <m/>
    <x v="0"/>
    <s v="Accepted – Ready for Implementation"/>
    <x v="0"/>
  </r>
  <r>
    <n v="44"/>
    <x v="3"/>
    <m/>
    <s v="UX-AI-004"/>
    <s v="Microcopy &amp; UX Writing"/>
    <s v="Use AI to draft and improve UI microcopy (buttons, errors, empty states, helper text, onboarding text) and provide multiple tone options while keeping clarity, consistency, and usability in focus."/>
    <m/>
    <s v="Design"/>
    <s v="UX Content"/>
    <s v="Microcopy &amp; UX Writing"/>
    <s v="3–6 hrs"/>
    <s v="0.5–2 hrs"/>
    <s v="Faster writing iterations, clearer UX copy, improved tone consistency, easier localization prep"/>
    <s v="5+"/>
    <s v="Provide context (screen purpose, user action, error case, tone). Generate options, then review for product terminology, legal constraints, and brand voice."/>
    <s v="AI accelerates copy ideation and refinement, but domain accuracy and UX context still need human editing."/>
    <s v="UI/UX Designers / Product Team"/>
    <s v="Especially useful for error states and empty states where many variants are needed."/>
    <s v="Yes"/>
    <s v="Implemented"/>
    <m/>
    <s v="Mohannad Azzi"/>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40-50%"/>
    <m/>
    <s v="implelemted"/>
    <m/>
    <x v="2"/>
    <s v="Updated from More Elaboration Needed to Accepted Idea because the row now provides enough business value, AI fit, feasibility, and implementation readiness to move forward under governed review."/>
    <x v="0"/>
  </r>
  <r>
    <n v="45"/>
    <x v="3"/>
    <m/>
    <s v="UX-AI-005"/>
    <s v="UX Testing Support"/>
    <s v="Use AI to help prepare usability testing assets such as test scripts, scenarios, task flows, interview questions, note synthesis, and summary themes. Can also help cluster findings and draft insight summaries."/>
    <m/>
    <s v="Design"/>
    <s v="UX Research"/>
    <s v="Usability Testing Support"/>
    <s v="5-7 Man-days"/>
    <s v="8-12 Hrs"/>
    <s v="Faster test prep and synthesis, improved documentation quality, quicker turnaround for reporting insights"/>
    <n v="2"/>
    <s v="Feed AI anonymized notes only. Use it for drafting and clustering, then validate findings manually. Keep raw evidence and decision traceability."/>
    <s v="AI is valuable in synthesis support, but should not replace researcher judgment."/>
    <s v="UX Researchers / UI/UX Designers"/>
    <s v="Avoid uploading sensitive user data. Human review required for final findings and recommendations."/>
    <s v="Yes"/>
    <s v="Planned"/>
    <s v="Figma MCP, Testing tools "/>
    <s v="Mohannad Azzi"/>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60-70%"/>
    <m/>
    <s v="End of May"/>
    <m/>
    <x v="2"/>
    <s v="Updated from More Elaboration Needed to Accepted Idea because the row now provides enough business value, AI fit, feasibility, and implementation readiness to move forward under governed review."/>
    <x v="0"/>
  </r>
  <r>
    <n v="46"/>
    <x v="3"/>
    <m/>
    <s v="UX-AI-006"/>
    <s v="Accessibility Review Support"/>
    <s v="Use AI as an assistant to review screens/components for accessibility considerations (contrast issues, hierarchy, labels, focus states, semantic clarity, keyboard flow assumptions) and generate improvement checklists before formal QA."/>
    <m/>
    <s v="Design"/>
    <s v="Quality &amp; Compliance"/>
    <s v="Accessibility Support"/>
    <s v="4–8 hrs"/>
    <s v="1–3 hrs"/>
    <s v="Earlier detection of accessibility issues, better design quality, reduced rework before development"/>
    <m/>
    <s v="Use AI for preliminary review only. Validate with actual tools (contrast checkers, screen-reader testing) and platform guidelines."/>
    <s v="AI is useful for checklist-driven accessibility reviews, but real validation tools are still mandatory."/>
    <s v="UI/UX Designers / QA"/>
    <s v="Great for pre-handoff checks; not a replacement for WCAG-based testing tools."/>
    <s v="Yes"/>
    <s v="Planned"/>
    <s v="ChatGPT Vision_x000a_Gemini Vision_x000a_Figma AI"/>
    <s v="Mohannad Azzi"/>
    <x v="0"/>
    <s v="Accepted – Ready for Pilot"/>
    <s v="Well-scoped accessibility review use case. AI reviews screens/components for contrast, hierarchy, label, focus, and semantic issues and generates improvement checklists before formal QA. Effort from 4–8 hours to 1–3 hours. Owners named, tools confirmed (ChatGPT Vision, Gemini Vision, Figma AI). Governance caveat already captured."/>
    <s v="High feasibility as a pre-QA review gate. Risk: AI vision models may miss dynamic accessibility issues that only manifest under interaction. Mitigation: AI review is supplementary early-warning gate, not a replacement for formal accessibility testing."/>
    <s v="1) Export screen/component screenshots and code for AI review. 2) AI checks: contrast ratios, ARIA labels, focus order, semantic HTML, keyboard flow assumptions. 3) AI generates improvement checklist with severity ratings. 4) Designer implements priority items. 5) Validate with contrast checker + screen reader before QA sign-off. 6) KPI: accessibility issues detected pre-QA vs post-QA; rework cycles reduced."/>
    <s v="20-30%"/>
    <m/>
    <s v="End of May"/>
    <m/>
    <x v="0"/>
    <s v="Accepted – Ready for Pilot"/>
    <x v="0"/>
  </r>
  <r>
    <n v="47"/>
    <x v="3"/>
    <m/>
    <s v="UX-AI-007"/>
    <s v="Interaction and Prototyping"/>
    <s v="Using AI to assists with creating interactions and live prototype for flows(Web/App)"/>
    <m/>
    <s v="Design"/>
    <s v="UI "/>
    <s v="UI and Interaction"/>
    <s v="3 Man-days"/>
    <s v="1 day"/>
    <s v="Less production cost"/>
    <n v="1"/>
    <s v="Using AI to assists with creating interactions and live prototype for flows(Web/App)"/>
    <m/>
    <s v="Interaction designers / UI/UX Designers"/>
    <s v="Need Subscriptions "/>
    <s v="Yes"/>
    <s v="Implemented"/>
    <s v="Figma , Figma Make, Framer"/>
    <s v="Mohannad Azzi"/>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50-60%"/>
    <m/>
    <s v="implelemted"/>
    <m/>
    <x v="2"/>
    <s v="Updated from More Elaboration Needed to Accepted Idea because the row now provides enough business value, AI fit, feasibility, and implementation readiness to move forward under governed review."/>
    <x v="0"/>
  </r>
  <r>
    <n v="48"/>
    <x v="3"/>
    <m/>
    <s v="UX-AI-008"/>
    <s v="Generate Images &amp; Videos"/>
    <s v="Using AI to generate images &amp; videos that help to create a professional video "/>
    <m/>
    <s v="Design"/>
    <s v="UI "/>
    <s v="UI Motion Design"/>
    <s v="5 Man-Days"/>
    <s v="2 days"/>
    <s v="Less production cost"/>
    <s v="5+"/>
    <s v="Using AI to generate images &amp; videos that help to create a professional video "/>
    <m/>
    <s v="Interaction designers / UI/UX Designers"/>
    <s v="Need Subscriptions "/>
    <s v="No"/>
    <s v="Implemented"/>
    <s v="Figma, Framer, After Effect, Freepik"/>
    <s v="Mohannad Azzi"/>
    <x v="2"/>
    <s v="Not Accepted – No Clear Governed Enterprise AI Boundary"/>
    <s v="This row is too broad and loosely framed for governed enterprise adoption. “Generate images and videos” is a generic content-production activity, not yet a bounded business use case with clear quality controls, IP policy, reuse model, approval workflow, or measurable enterprise value. It may help internal design productivity, but it is not sufficiently differentiated or controlled to qualify as a governed AI use case in its current form."/>
    <s v="Medium doability operationally; Low AI fit in current governance form. The tooling is available and usable, but the business case is too broad and the delivery boundaries are unclear."/>
    <s v="Keep it as an internal creative productivity aid only. Use AI for drafts, placeholders, storyboards, internal visual concepts, and early ideation, but do not position it as a governed AI use case until there is a defined business problem, measurable value, content/IP policy, brand control, and customer-acceptable quality boundary."/>
    <s v="20-30%"/>
    <s v=" "/>
    <s v="implelemted"/>
    <s v=" "/>
    <x v="1"/>
    <s v="Case remains Not Accepted because the row is still too broad and weakly differentiated to justify governed enterprise AI adoption. The updated rationale sharpens the issue around missing business case, assurance, and delivery boundaries."/>
    <x v="0"/>
  </r>
  <r>
    <n v="49"/>
    <x v="3"/>
    <m/>
    <s v="DCX-BA-002"/>
    <s v="AI Requirement Gap &amp; Conflict Detection"/>
    <s v="AI tool used to compare BRD, FSD, and UI designs to detect inconsistencies, missing fields, duplicated rules, or conflicting workflows."/>
    <n v="46079"/>
    <s v="Analysis "/>
    <s v="Quality Assurance Enhancement"/>
    <s v="Automated Documentation Review"/>
    <s v="2–3 days manual comparison"/>
    <s v="Initial gap analysis in 1–2 hours_x000a__x000a_BA validates flagged items"/>
    <s v="Reduced production defects_x000a_Faster UAT cycle_x000a_Early detection of logic conflicts"/>
    <s v="Pilot (BA + Solution Architect)"/>
    <s v="Upload sanitized documents only_x000a_AI output to be reviewed manually_x000a_Maintain issue log tracking"/>
    <s v="AI reduces oversight risk but cannot fully interpret business context without human review."/>
    <s v="BA Lead / Solution Architect"/>
    <s v="Need integration with document repository"/>
    <s v="Yes"/>
    <s v="Planned"/>
    <m/>
    <s v="Mohannad Azzi"/>
    <x v="0"/>
    <s v="Accepted – Ready for Pilot"/>
    <s v="Strong BA quality gate. AI compares BRD, FSD, and UI designs to detect inconsistencies, missing fields, duplicate rules, and conflicting workflows. Effort from 2–3 days to 1–2 hours. Owner named (BA Lead / Solution Architect). Clear governance: sanitized docs, manual review, issue log. Ready for pilot."/>
    <s v="High feasibility. Document comparison and conflict detection is a reliable LLM pattern. Risk: AI may flag false conflicts where intentional design decisions created differences. Mitigation: BA reviews all flagged conflicts with the originating domain expert before raising as issues."/>
    <s v="1) Upload sanitized BRD, FSD, and UI design specs. 2) AI performs cross-document comparison: missing fields, conflicting rules, terminology inconsistencies, workflow gaps. 3) BA reviews AI-generated conflict list with Solution Architect. 4) Confirmed conflicts logged in issue tracker with source references. 5) KPI: conflicts detected pre-UAT vs post-UAT; issue detection shift-left rate."/>
    <s v="50-60%"/>
    <m/>
    <s v="end of april"/>
    <m/>
    <x v="0"/>
    <s v="Accepted – Ready for Pilot"/>
    <x v="0"/>
  </r>
  <r>
    <n v="50"/>
    <x v="3"/>
    <m/>
    <m/>
    <s v="Signup Workflow"/>
    <s v="Develop a user interface for signup, including generating UI, Integration, _x000a_generation validation rules, based on an existing project, _x000a_leveraging an existing design system compnents"/>
    <n v="46084"/>
    <s v="Development"/>
    <s v="Frontend"/>
    <s v="UI"/>
    <m/>
    <m/>
    <s v="30% faster, generates screen using AI instead of writing components manually"/>
    <s v="1 Developer"/>
    <s v="write proper prompt with screen shot from Figma to create the UI screen "/>
    <m/>
    <s v="Waleed Hussien"/>
    <m/>
    <s v="No"/>
    <s v="In Progress"/>
    <s v="Anthropic Claude Opus"/>
    <s v="Mohannad Azzi"/>
    <x v="2"/>
    <s v="Not Accepted – Better as Design System Automation / UI Engineering Accelerator"/>
    <s v="This is similar to the Login Screen Generator case but with added validation rules and integration context. The activity still sits mainly in deterministic frontend engineering using an existing design system, existing project patterns, and standard integration practices. AI can help generate a first draft of UI, validation logic, and connection points, but the main value still comes from reusable components, frontend conventions, and developer oversight rather than a distinct governed AI capability."/>
    <s v="High doability operationally; Low-Medium AI fit. Feasible and useful as a delivery accelerator, but still weak as a governed AI use case in its current framing."/>
    <s v="Keep as a UI engineering and workflow scaffolding accelerator. Use AI to generate draft screens, form rules, and integration stubs from Figma and project context, but validate through design-system controls, form-validation rules, integration tests, and manual review. Re-submit only if reframed into UX compliance analysis, form-logic anomaly detection, or intelligent validation design support."/>
    <s v="20-30%"/>
    <s v=" "/>
    <s v="end of april"/>
    <s v=" "/>
    <x v="1"/>
    <s v="Case remains Not Accepted because the reassessment confirms it is still mostly frontend scaffolding plus deterministic validation/integration setup. The revised wording clarifies that this belongs to delivery acceleration rather than the governed AI pipeline."/>
    <x v="0"/>
  </r>
  <r>
    <n v="51"/>
    <x v="4"/>
    <s v="EPCS"/>
    <s v="EPCS-AI-SPM-001"/>
    <s v="Schema Design and Data Modeling"/>
    <s v="AI assistance to design normalized relational schema for contract sheet system (entities, keys, relationships, indexes)"/>
    <s v="2026-03-01"/>
    <s v="Design"/>
    <s v="Design"/>
    <s v="Data Modeling"/>
    <s v="16H"/>
    <n v="8"/>
    <s v="Faster schema design and fewer review cycles; improves data quality and reduces rework"/>
    <n v="6"/>
    <s v="Provide business entities, attributes, and relationships; AI drafts ERD and table definitions; DBA reviews and adjusts for Oracle/APEX constraints."/>
    <s v="AI accelerates first draft; human review ensures platform fit"/>
    <s v="Ahmed Shaheen"/>
    <s v="Requires access to Oracle APEX schema standards and naming conventions"/>
    <s v="Yes"/>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8"/>
    <m/>
    <s v="Scale in Q2-Q3 2026"/>
    <m/>
    <x v="2"/>
    <s v="Updated from More Elaboration Needed to Accepted Idea because the row now provides enough business value, AI fit, feasibility, and implementation readiness to move forward under governed review."/>
    <x v="0"/>
  </r>
  <r>
    <n v="52"/>
    <x v="4"/>
    <s v="EPCS"/>
    <s v="EPCS-AI-SPM-002"/>
    <s v="Architecture Documentation"/>
    <s v="AI assistance designing  a structured business model and data architecture for managing project milestones, revenues, costs, and actuals with the specific requirements"/>
    <s v="2026-03-01"/>
    <s v="Analysis"/>
    <s v="Requirements Analysis"/>
    <s v="Architecture Documentation"/>
    <s v="24H"/>
    <n v="16"/>
    <s v="Standardized architecture docs; reduces analysis effort and speeds approval"/>
    <n v="7"/>
    <s v="Provide requirements; AI generates entity model and documentation; architect reviews and simplifies."/>
    <s v="Improves consistency and speeds documentation"/>
    <s v="Ahmed Shaheen"/>
    <s v="Requires architecture templates and naming conventions"/>
    <s v="Yes"/>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8"/>
    <m/>
    <s v="Scale in Q2-Q3 2026"/>
    <m/>
    <x v="2"/>
    <s v="Updated from More Elaboration Needed to Accepted Idea because the row now provides enough business value, AI fit, feasibility, and implementation readiness to move forward under governed review."/>
    <x v="0"/>
  </r>
  <r>
    <n v="53"/>
    <x v="4"/>
    <s v="EPCS"/>
    <s v="EPCS-AI-SPM-004"/>
    <s v="Error Debugging and Handling"/>
    <s v="AI assistance in analyzing error messages and provide detailed explanations when encountering complex errors in APEX applications"/>
    <d v="2026-03-01T00:00:00"/>
    <s v="Development"/>
    <s v="Backend-Frontend"/>
    <s v="Debugging"/>
    <s v="2H"/>
    <n v="0.5"/>
    <s v="Reduces debugging time and improves developer productivity"/>
    <s v="~20"/>
    <s v="Capture error message and code context; AI suggests root cause and fix; developer validates in non-prod before applying."/>
    <s v="AI improves speed; validation still required"/>
    <s v="Ahmed Shaheen"/>
    <s v="All AI-suggested fixes must be tested in non-prod before production deployment"/>
    <s v="Yes"/>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1.5"/>
    <m/>
    <s v="Scale in Q2-Q3 2026"/>
    <m/>
    <x v="2"/>
    <s v="Updated from More Elaboration Needed to Accepted Idea because the row now provides enough business value, AI fit, feasibility, and implementation readiness to move forward under governed review."/>
    <x v="0"/>
  </r>
  <r>
    <n v="54"/>
    <x v="4"/>
    <s v="BFSI"/>
    <s v="EAS-BFSI-BA-01"/>
    <s v="BRD to User Stories Auto-Generation"/>
    <s v="AI converts BRD/SOW documents into structured epics, user stories, and acceptance criteria for LOS, LMS, SME, Mortgage and Cards projects."/>
    <s v="02/26/2026"/>
    <s v="Analysis"/>
    <s v="Requirements Engineering"/>
    <s v="User Story Generation"/>
    <s v="8-10 MD per project"/>
    <s v="3-4 MD per project"/>
    <s v="40-60% documentation effort reduction and improved traceability."/>
    <s v="All lending projects"/>
    <s v="Upload BRD/SOW; AI generates structured backlog aligned with templates."/>
    <s v="Standardizes requirement quality across BFSI tower."/>
    <s v="BA Lead - BFSI"/>
    <s v="Requires secure document environment."/>
    <s v="Yes"/>
    <s v="Planned"/>
    <s v="Microsoft Copilot "/>
    <s v="Omar Ibrahim"/>
    <x v="0"/>
    <s v="Accepted – Ready for Pilot"/>
    <s v="Strong BFSI BA accelerator. AI converts BRD/SOW into epics, user stories, and acceptance criteria for LOS/LMS/SME/Mortgage/Cards. Effort from 8–10 MD to 3–4 MD (40–60% reduction). Named owner (BA Lead – BFSI), tool confirmed (Copilot). No blocking gaps."/>
    <s v="High feasibility. BRD-to-user-story conversion is well-proven. Financial domain specificity (LOS, Mortgage) requires BFSI-aware prompt context. Risk: AI-generated acceptance criteria may miss regulatory and compliance constraints specific to banking. Mitigation: BFSI BA lead reviews all generated stories against regulatory requirements before backlog entry."/>
    <s v="1) Upload BRD/SOW (sanitized). 2) Provide BFSI context prompt (domain: LOS/Mortgage, regulatory constraints, acceptance criteria standards). 3) AI generates: epics, user stories, acceptance criteria, dependency notes. 4) BA Lead reviews against regulatory requirements. 5) Approved stories enter JIRA/ADO backlog. 6) Pilot: one LOS or Mortgage project BRD. 7) KPI: MD reduction per project; story quality score from delivery team."/>
    <n v="3"/>
    <m/>
    <s v="Pilot in Q2 2026"/>
    <m/>
    <x v="0"/>
    <s v="Accepted – Ready for Pilot"/>
    <x v="0"/>
  </r>
  <r>
    <n v="55"/>
    <x v="4"/>
    <s v="BFSI"/>
    <s v="EAS-BFSI-SA-01"/>
    <s v="HLD/LLD Auto Drafting"/>
    <s v="AI generates architecture diagrams, integration flows, sequence diagrams and NFR checklist from BRD and integration inputs."/>
    <s v="02/26/2026"/>
    <s v="Design"/>
    <s v="Architecture"/>
    <s v="HLD/LLD Generation"/>
    <s v="12-15 MD"/>
    <s v="6-8 MD"/>
    <s v="30-50% faster design cycle and reduced architecture review iterations."/>
    <s v="All integration-heavy programs"/>
    <s v="Provide structured requirements and integration inventory."/>
    <s v="Improves governance and architectural consistency."/>
    <s v="Solution Architecture Lead"/>
    <s v="Needs predefined templates."/>
    <s v="Yes"/>
    <s v="Planned"/>
    <s v="Microsoft Copilot "/>
    <s v="Omar Ibrahim"/>
    <x v="0"/>
    <s v="Accepted – Ready for Pilot"/>
    <s v="Strong architecture design accelerator. AI generates architecture diagrams, integration flows, sequence diagrams, and NFR checklists from BRD and integration inputs. Effort from 12–15 MD to 6–8 MD (30–50% reduction). Named owner (Solution Architecture Lead), tool confirmed (Copilot). Pilot: one integration-heavy BFSI program."/>
    <s v="High feasibility for diagram and documentation drafting. Risk: AI may propose inappropriate patterns for regulated banking environments. Mitigation: mandatory Architecture Review Board sign-off on all AI-generated architecture before baselining."/>
    <s v="1) Provide BRD and integration inventory (systems, APIs, data flows). 2) AI generates: HLD diagram, integration blueprint, sequence diagrams, NFR checklist. 3) Solution Architect reviews against banking environment constraints. 4) Architecture Review Board sign-off. 5) Baseline approved artifacts. 6) Pilot: one integration-heavy BFSI program. 7) KPI: design cycle time before vs after; review iterations needed."/>
    <n v="3"/>
    <m/>
    <s v="Pilot in Q2 2026"/>
    <m/>
    <x v="0"/>
    <s v="Accepted – Ready for Pilot"/>
    <x v="0"/>
  </r>
  <r>
    <n v="56"/>
    <x v="4"/>
    <s v="BFSI"/>
    <s v="EAS-BFSI-DM-01"/>
    <s v="Delivery Margin &amp; Resource Optimization Engine"/>
    <s v="AI analyzes rate cards, MD allocation, and burn rate to predict margin impact and recommend resource optimization across towers."/>
    <s v="02/26/2026"/>
    <s v="Monitoring &amp; Control"/>
    <s v="Delivery Excellence"/>
    <s v="Cost &amp; Margin Optimization"/>
    <s v="Manual financial analysis per project"/>
    <s v="Automated predictive margin modeling"/>
    <s v="5-8% margin improvement and 10-15% resource optimization."/>
    <s v="Strategic BFSI accounts (ARB, Banking clients)"/>
    <s v="Integrate PAS sheets and costing catalogues."/>
    <s v="Protects profitability while improving delivery efficiency."/>
    <s v="Delivery Management Head"/>
    <s v="Requires access to financial sheets."/>
    <s v="Yes"/>
    <s v="Planned"/>
    <s v="Microsoft Copilot "/>
    <s v="Omar Ibrahim"/>
    <x v="0"/>
    <s v="Accepted – Ready for Pilot"/>
    <s v="Strong delivery excellence use case. AI analyzes rate cards, MD allocation, and burn rate to predict margin impact and recommend resource optimization. Outcome: 5–8% margin improvement, 10–15% resource optimization. Named owner (Delivery Management Head), tool confirmed (Copilot). Pilot: 2–3 accounts. No blocking gaps."/>
    <s v="High feasibility for margin modeling and optimization recommendations. Risk: AI recommendations may not account for contractual constraints or client-relationship implications of resource changes. Mitigation: Delivery Management Head reviews and approves all resource optimization actions before execution."/>
    <s v="1) Integrate PAS sheets and costing catalogues as AI input. 2) AI analyzes: rate card vs allocation, burn rate trends, margin variance per project. 3) AI generates: margin impact forecast, over/under-allocation flags, optimization recommendations. 4) Delivery Management Head reviews recommendations. 5) Approved actions implemented. 6) Pilot: 2–3 accounts. 7) KPI: margin % improvement; resource utilization before vs after."/>
    <n v="2"/>
    <m/>
    <s v="Pilot in Q2 2026"/>
    <m/>
    <x v="0"/>
    <s v="Accepted – Ready for Pilot"/>
    <x v="0"/>
  </r>
  <r>
    <n v="57"/>
    <x v="4"/>
    <s v="EPCS"/>
    <s v="EPCS-AI-ECM-003"/>
    <s v="AI-Assisted Excel Validation &amp; CSV Conversion Tool"/>
    <s v="A Windows desktop application built using Python and Tkinter with AI assistance (GitHub Copilot) to validate, transform, and convert Excel data into structured CSV files with configurable business rules."/>
    <d v="2026-03-02T00:00:00"/>
    <s v="Development"/>
    <s v="Process Automation"/>
    <s v="Data Validation &amp; Transformation"/>
    <s v="24H"/>
    <s v="8H"/>
    <s v="Reduces manual data validation effort, minimizes human errors, improves data quality, accelerates data migration processes, and ensures consistency across datasets."/>
    <n v="3"/>
    <s v="Prepare Excel input with defined structure, configure validation rules (manually or via Excel/JSON), run validation, review errors, and export valid data to CSV."/>
    <s v="AI significantly accelerates development of internal tools, especially for data-heavy processes, and enables rapid prototyping with high-quality output."/>
    <s v="Ahmed Shaheen"/>
    <s v="Can be enhanced with database integration or API-based validation for real-time processing."/>
    <s v="Yes"/>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16"/>
    <m/>
    <s v="Scale in Q2-Q3 2026"/>
    <m/>
    <x v="3"/>
    <s v="Updated from blank to Accepted Idea because the row now shows enough problem clarity, AI relevance, business value, and a workable delivery path to govern as an AI use case."/>
    <x v="0"/>
  </r>
  <r>
    <n v="58"/>
    <x v="4"/>
    <s v="ERP"/>
    <s v="ORACLE-AI-001"/>
    <s v="Create Qualification Questions"/>
    <s v="You can use Generative AI to suggest questions on topics such as sustainability, governance, financial viability, and various supplier risks."/>
    <n v="45949"/>
    <s v="Analysis / Activation"/>
    <s v="Platform AI Feature"/>
    <s v="Procurement"/>
    <n v="4"/>
    <n v="1"/>
    <s v="Reduces qualification question creation time and improves supplier evaluation consistency"/>
    <m/>
    <s v="Activate AI qualification feature in Oracle Fusion Procurement tenant; procurement lead reviews and approves generated questions."/>
    <s v="Built-in Oracle AI feature; minimal setup required for activation"/>
    <s v="Reham Ibrahim"/>
    <s v="Built-in Oracle Fusion Cloud feature; no custom development required"/>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3"/>
    <m/>
    <s v="Q2 2026"/>
    <m/>
    <x v="2"/>
    <s v="Updated from More Elaboration Needed to Accepted Idea because the row now provides enough business value, AI fit, feasibility, and implementation readiness to move forward under governed review."/>
    <x v="0"/>
  </r>
  <r>
    <n v="59"/>
    <x v="4"/>
    <s v="ERP"/>
    <s v="ORACLE-AI-002"/>
    <s v="Discover New Suppliers"/>
    <s v="Use generative Artificial Intelligence (AI) to discover suppliers who may or may not be currently registered but possess the capability to provide goods and services for your business. If you like a recommendation, you can register the supplier and invite them to participate in the negotiation."/>
    <n v="45949"/>
    <s v="Analysis / Activation"/>
    <s v="Platform AI Feature"/>
    <s v="Procurement"/>
    <n v="8"/>
    <n v="2"/>
    <s v="Accelerates supplier discovery and broadens sourcing options"/>
    <m/>
    <s v="Activate Supplier Discovery AI in Oracle Fusion Procurement; configure search criteria and compliance filters."/>
    <s v="Built-in Oracle AI feature; enables efficient supplier sourcing"/>
    <s v="Reham Ibrahim"/>
    <s v="Built-in Oracle Fusion Cloud feature; validate against Nitaqat/SASO compliance"/>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framework/domain with approved evidence sources and reviewer workflow._x000a_2) Measure preparation effort, review corrections, and audit-readiness quality._x000a_3) Release only reviewed outputs and preserve traceability to source controls/evidence."/>
    <n v="6"/>
    <m/>
    <s v="Q2 2026"/>
    <m/>
    <x v="2"/>
    <s v="Updated from More Elaboration Needed to Accepted Idea because the row now provides enough business value, AI fit, feasibility, and implementation readiness to move forward under governed review."/>
    <x v="0"/>
  </r>
  <r>
    <n v="60"/>
    <x v="4"/>
    <s v="ERP"/>
    <s v="ORACLE-AI-003"/>
    <s v="The Supplier Negotiation Details Agent"/>
    <s v="The Negotiation Status Advisor agent provides users with real-time access to the status and details of their supplier negotiations directly through an AI chat interface, without requiring involvement from the procurement team or buyers."/>
    <n v="45949"/>
    <s v="Analysis / Activation"/>
    <s v="Platform AI Feature"/>
    <s v="Procurement"/>
    <n v="3"/>
    <n v="1"/>
    <s v="Reduces procurement team query workload and enables real-time negotiation visibility"/>
    <m/>
    <s v="Activate Negotiation Status Advisor in Oracle Fusion Procurement; configure data access scope and user permissions."/>
    <s v="Built-in Oracle AI agent; improves self-service for negotiation tracking"/>
    <s v="Reham Ibrahim"/>
    <s v="Built-in Oracle Fusion Cloud feature; confirm data sync frequency before go-live"/>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2"/>
    <m/>
    <s v="Q2 2026"/>
    <m/>
    <x v="2"/>
    <s v="Updated from More Elaboration Needed to Accepted Idea because the row now provides enough business value, AI fit, feasibility, and implementation readiness to move forward under governed review."/>
    <x v="0"/>
  </r>
  <r>
    <n v="61"/>
    <x v="4"/>
    <s v="ERP"/>
    <s v="ORACLE-AI-004"/>
    <s v="The Procurement Policy Advisor Agent"/>
    <s v="Provides users with seamless access to procurement policies, allowing them to ask questions about products and services while ordering what they need to get their jobs done."/>
    <n v="45949"/>
    <s v="Analysis / Activation"/>
    <s v="Platform AI Feature"/>
    <s v="Procurement"/>
    <n v="4"/>
    <n v="1"/>
    <s v="Improves procurement policy compliance and reduces policy-related support queries"/>
    <m/>
    <s v="Activate Procurement Policy Advisor in Oracle Fusion; upload and structure procurement policy documents into knowledge base."/>
    <s v="Built-in Oracle AI agent; supports self-service procurement policy guidance"/>
    <s v="Reham Ibrahim"/>
    <s v="Built-in Oracle Fusion Cloud feature; requires procurement policy knowledge base maintenance"/>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3"/>
    <m/>
    <s v="Q2 2026"/>
    <m/>
    <x v="2"/>
    <s v="Updated from More Elaboration Needed to Accepted Idea because the row now provides enough business value, AI fit, feasibility, and implementation readiness to move forward under governed review."/>
    <x v="0"/>
  </r>
  <r>
    <n v="62"/>
    <x v="4"/>
    <s v="ERP"/>
    <s v="ORACLE-AI-005"/>
    <s v="Leave and Absence Analyst - AI Agent"/>
    <s v="The Leave and Absence Analyst is an AI-powered digital assistant that helps you manage all aspects of your time off easily, accurately, and securely_x000a_- Whether you're checking your PTO balance, scheduling time off, donating leave to a colleague, or cashing out unused hours, this agent offers real-time support and guidance_x000a_- Built on Oracles AI Agent framework and powered by large language models (LLMs), the agent understands your natural language queries and responds with accurate, secure information based on your role and privileges"/>
    <n v="45949"/>
    <s v="Analysis / Activation"/>
    <s v="Platform AI Feature"/>
    <s v="HCM"/>
    <n v="3"/>
    <n v="1"/>
    <s v="Reduces HR leave-query ticket volume and improves employee self-service"/>
    <m/>
    <s v="Activate Leave and Absence Analyst agent in Oracle HCM Fusion; configure role-based data access; validate leave balance accuracy."/>
    <s v="Built-in Oracle HCM AI agent; enables employee self-service for time-off management"/>
    <s v="Reham Ibrahim"/>
    <s v="Built-in Oracle HCM feature; requires HR data audit before activation"/>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2"/>
    <m/>
    <s v="Q2 2026"/>
    <m/>
    <x v="2"/>
    <s v="Updated from More Elaboration Needed to Accepted Idea because the row now provides enough business value, AI fit, feasibility, and implementation readiness to move forward under governed review."/>
    <x v="0"/>
  </r>
  <r>
    <n v="63"/>
    <x v="4"/>
    <s v="ERP"/>
    <s v="ORACLE-AI-006"/>
    <s v="Pay Analyst - AI Agent"/>
    <s v="The Pay Analyst is your AI-powered digital assistant for payroll, designed to make payslip access and payroll history transparent and easy for every employee_x000a_- This digital worker enables you to review payslips, analyze key earnings and deductions, and clarify pay-related questionsâall through a secure, conversational interface_x000a_- Built on Oracles AI Agent framework and powered by advanced large language models (LLMs), the agent interprets your natural language questions and delivers accurate, role-based information within your security permissions"/>
    <n v="45949"/>
    <s v="Analysis / Activation"/>
    <s v="Platform AI Feature"/>
    <s v="HCM"/>
    <n v="3"/>
    <n v="1"/>
    <s v="Reduces payroll helpdesk ticket volume and improves employee pay transparency"/>
    <m/>
    <s v="Activate Pay Analyst agent in Oracle HCM Fusion; confirm PDPL-aligned data access controls; pilot with HR and Finance before full rollout."/>
    <s v="Built-in Oracle HCM AI agent; improves employee self-service for payroll queries"/>
    <s v="Reham Ibrahim"/>
    <s v="Built-in Oracle HCM feature; payroll data sensitivity requires strict role-based access"/>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2"/>
    <m/>
    <s v="Q2 2026"/>
    <m/>
    <x v="2"/>
    <s v="Updated from More Elaboration Needed to Accepted Idea because the row now provides enough business value, AI fit, feasibility, and implementation readiness to move forward under governed review."/>
    <x v="0"/>
  </r>
  <r>
    <n v="64"/>
    <x v="4"/>
    <s v="ERP"/>
    <s v="ORACLE-AI-007"/>
    <s v="Best Candidates AI Ranking"/>
    <s v="Recruiters can use the Best Candidates feature to review the recommended best candidates for open job requisitions_x000a_- When the feature is enabled, you can see the Top Recommendations section in job requisitions_x000a_- Candidates are sorted in order of recommendations, and you can refine the list of recommended candidates to review or decide who to invite to apply for a job"/>
    <n v="45949"/>
    <s v="Analysis / Activation"/>
    <s v="Platform AI Feature"/>
    <s v="Recruiting"/>
    <n v="6"/>
    <n v="2"/>
    <s v="Accelerates candidate shortlisting and reduces recruiter screening effort"/>
    <m/>
    <s v="Activate Best Candidates AI in Oracle Recruiting Cloud; HR defines diversity criteria; AI ranking is advisory, not final."/>
    <s v="Built-in Oracle Recruiting AI feature; supports data-driven candidate evaluation"/>
    <s v="Reham Ibrahim"/>
    <s v="Built-in Oracle Recruiting feature; bias monitoring recommended after activation"/>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4"/>
    <m/>
    <s v="Q2 2026"/>
    <m/>
    <x v="2"/>
    <s v="Updated from More Elaboration Needed to Accepted Idea because the row now provides enough business value, AI fit, feasibility, and implementation readiness to move forward under governed review."/>
    <x v="0"/>
  </r>
  <r>
    <n v="65"/>
    <x v="4"/>
    <s v="ERP"/>
    <s v="ORACLE-AI-008"/>
    <s v="Candidate Assistant Q&amp;A"/>
    <s v="You can now answer candidate questions regarding job requisitions or the company using Oracle’s AI Assist, which is powered by Generative AI_x000a_- As a recruiter, all you need to do is define information about the job requisition or company using the features available in Recruiting, and AI Assist will retrieve the answers from these sources and display the response in an engaging and conversational manner_x000a_- This feature is an enhancement over the job- and company-related question intents that were previously used to answer candidate questions"/>
    <n v="45949"/>
    <s v="Analysis / Activation"/>
    <s v="Platform AI Feature"/>
    <s v="Recruiting"/>
    <n v="4"/>
    <n v="1"/>
    <s v="Improves candidate experience and reduces recruiter query handling time"/>
    <m/>
    <s v="Activate Oracle AI Assist in Recruiting Cloud; recruiters populate job requisition and company Q&amp;A content; define content maintenance cadence."/>
    <s v="Built-in Oracle Recruiting AI feature; enhances candidate engagement"/>
    <s v="Reham Ibrahim"/>
    <s v="Built-in Oracle Recruiting feature; requires ongoing content maintenance by recruiting team"/>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3"/>
    <m/>
    <s v="Q2 2026"/>
    <m/>
    <x v="2"/>
    <s v="Updated from More Elaboration Needed to Accepted Idea because the row now provides enough business value, AI fit, feasibility, and implementation readiness to move forward under governed review."/>
    <x v="0"/>
  </r>
  <r>
    <n v="66"/>
    <x v="4"/>
    <s v="ERP"/>
    <s v="ORACLE-AI-009"/>
    <s v="AI Agent for Job Skills Enrichment"/>
    <s v="Enrich job profiles with AI-suggested skills using a new AI agent called Job Skills Enrichment_x000a_- This agent analyzes the job description, job title, skills associated with the job profile, your organization’s skills library, and other relevant HCM transactional data, and suggests new or additional skills that are relevant to the job profile_x000a_- Note: These skill suggestions are added as ‘pending’ (also known as uncurated)"/>
    <n v="45949"/>
    <s v="Analysis / Activation"/>
    <s v="Platform AI Feature"/>
    <s v="HCM"/>
    <n v="4"/>
    <n v="1"/>
    <s v="Enriches job profiles with relevant skills and reduces manual skills curation effort"/>
    <m/>
    <s v="Activate Job Skills Enrichment agent in Oracle HCM; define minimum data quality thresholds; HR reviews AI-suggested skills before approval."/>
    <s v="Built-in Oracle HCM AI agent; supports skills-based talent management"/>
    <s v="Reham Ibrahim"/>
    <s v="Built-in Oracle HCM feature; AI-suggested skills start as uncurated/pending for HR review"/>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3"/>
    <m/>
    <s v="Q2 2026"/>
    <m/>
    <x v="2"/>
    <s v="Updated from More Elaboration Needed to Accepted Idea because the row now provides enough business value, AI fit, feasibility, and implementation readiness to move forward under governed review."/>
    <x v="0"/>
  </r>
  <r>
    <n v="67"/>
    <x v="4"/>
    <s v="ERP"/>
    <s v="ORACLE-AI-010"/>
    <s v="AI Assistance Enhancements For Manager Evaluations In Redwood Performance  Documents"/>
    <s v="Leverage Artificial Intelligence (AI) assistance for manager evaluations in Redwood performance documents_x000a_- with these enhancements: Enable managers to generate development tips for competencies based on manager entered comments, proficiencies, and ratings in addition to the competency name and description_x000a_- Provide feedback to managers if there's insufficient data to generate an overall summary comment to reduce misleading responses"/>
    <n v="45949"/>
    <s v="Analysis / Activation"/>
    <s v="Platform AI Feature"/>
    <s v="HCM"/>
    <n v="4"/>
    <n v="1"/>
    <s v="Accelerates manager evaluation process and improves development tip quality"/>
    <m/>
    <s v="Activate AI Assistance in Redwood Performance Documents; define minimum data quality thresholds for AI generation to trigger."/>
    <s v="Built-in Oracle Performance AI feature; supports competency-based development"/>
    <s v="Reham Ibrahim"/>
    <s v="Built-in Oracle HCM feature; requires minimum evaluation content quality for AI to generate tips"/>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3"/>
    <m/>
    <s v="Q2 2026"/>
    <m/>
    <x v="2"/>
    <s v="Updated from More Elaboration Needed to Accepted Idea because the row now provides enough business value, AI fit, feasibility, and implementation readiness to move forward under governed review."/>
    <x v="0"/>
  </r>
  <r>
    <n v="68"/>
    <x v="4"/>
    <s v="ERP"/>
    <s v="ORACLE-AI-011"/>
    <s v="Intelligent Account Combination Defaulting for Invoices"/>
    <s v="AI-driven feature in Oracle Fusion Cloud Payables that automates the prediction and population of account code combination (distribution) segment value"/>
    <n v="45949"/>
    <s v="Analysis / Activation"/>
    <s v="Platform AI Feature"/>
    <s v="Payables"/>
    <n v="5"/>
    <n v="1"/>
    <s v="Reduces manual account coding time and coding error rate for AP invoices"/>
    <m/>
    <s v="Activate Intelligent Account Combination Defaulting in Oracle Fusion Payables; finance team reviews and approves defaulting rules."/>
    <s v="Built-in Oracle Payables AI feature; automates account code prediction"/>
    <s v="Reham Ibrahim"/>
    <s v="Built-in Oracle Payables feature; monitor AI-defaulted invoices for accuracy during pilot"/>
    <s v="Yes"/>
    <s v="Planned"/>
    <s v="Oracle Fusion AI capabilitie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Restrict first use to read-only analysis, recommendations, or dry-run output._x000a_2) Validate in non-production and document approval gates before operational use._x000a_3) Convert proven outputs into governed templates/runbooks rather than free-form prompting."/>
    <n v="4"/>
    <m/>
    <s v="Q2 2026"/>
    <m/>
    <x v="2"/>
    <s v="Updated from More Elaboration Needed to Accepted Idea because the row now provides enough business value, AI fit, feasibility, and implementation readiness to move forward under governed review."/>
    <x v="0"/>
  </r>
  <r>
    <n v="69"/>
    <x v="4"/>
    <s v="ERP"/>
    <s v="ORACLE-AI-012"/>
    <s v="Supplier Instruction Knowledge Agent"/>
    <s v="RAG-powered AI agent that ingests supplier user guides and instruction documents, enabling business users to query supplier processes and procurement instructions through a conversational interface."/>
    <n v="45949"/>
    <s v="Development"/>
    <s v="Custom AI Agent"/>
    <s v="Procurement Knowledge"/>
    <n v="6"/>
    <n v="2"/>
    <s v="Reduces supplier instruction query time and improves procurement process self-service"/>
    <m/>
    <s v="Define document scope; build RAG pipeline with document refresh schedule; business users query via chat; ERP owner reviews response accuracy monthly."/>
    <s v="Custom RAG solution; requires document ingestion pipeline and governance"/>
    <s v="Reham Ibrahim"/>
    <s v="Requires document ingestion pipeline, data governance, and version-controlled refresh schedule"/>
    <s v="Yes"/>
    <s v="Planned"/>
    <s v="ChatGPT, Azure OpenAI"/>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4"/>
    <m/>
    <s v="Q2-Q3 2026"/>
    <m/>
    <x v="2"/>
    <s v="Updated from More Elaboration Needed to Accepted Idea because the row now provides enough business value, AI fit, feasibility, and implementation readiness to move forward under governed review."/>
    <x v="0"/>
  </r>
  <r>
    <n v="70"/>
    <x v="4"/>
    <s v="ERP"/>
    <s v="ERP-AI-002"/>
    <s v="AI-Powered Oracle Fusion DM Validation and Generation HDL"/>
    <s v="An AI-powered use case for validating and processing HR data for Oracle Fusion HCM using HCM Data Loader (HDL) format. The solution leverages AI platforms (Claude or ChatGPT) to automatically cleanse, validate, and transform Excel/CSV data into properly formatted HDL files ready for import into Oracle Fusion."/>
    <n v="46090"/>
    <s v="Development"/>
    <s v="Data Processing"/>
    <s v="Data Migration"/>
    <n v="10"/>
    <n v="3"/>
    <s v="•_x0009_Reduces data preparation time by 80-90%_x000a_•_x0009_Eliminates manual errors in HDL file creation_x000a_•_x0009_Ensures data quality and compliance with Oracle standards_x000a_•_x0009_Provides transparent validation and error reporting_x000a_•_x0009_Supports complex multi-object HDL scenarios_x000a_"/>
    <m/>
    <s v="Use AI on approved internal artifacts, then validate outputs by lead engineers or analysts before delivery."/>
    <s v="Reusable across multiple projects with minimal setup"/>
    <s v="Reham Ibrahim"/>
    <s v="Requires Oracle HDL object mappings and mandatory field rules as AI input; HCM specialist validates before import"/>
    <s v="Yes"/>
    <s v="Planned"/>
    <s v="ChatGPT, Clau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7"/>
    <m/>
    <s v="Q2 2026"/>
    <m/>
    <x v="2"/>
    <s v="Updated from More Elaboration Needed to Accepted Idea because the row now provides enough business value, AI fit, feasibility, and implementation readiness to move forward under governed review."/>
    <x v="0"/>
  </r>
  <r>
    <n v="71"/>
    <x v="4"/>
    <s v="ERP"/>
    <s v="ERP-AI-003"/>
    <s v="SQL Query Generation via Claude AI"/>
    <s v="Use AI to generate SQL queries for ERP reports using schema and business inputs"/>
    <s v="27/01/2026"/>
    <s v="Development / Support"/>
    <s v="Productivity Enhancement"/>
    <s v="Reporting Automation"/>
    <n v="6"/>
    <n v="1"/>
    <s v="- 75–87% time reduction_x000a_- 90% error reduction_x000a_- Faster delivery_x000a_- Reduce dependency on experts_x000a_- Improve data accuracy"/>
    <m/>
    <s v="- Provide schema and table structure_x000a_- Define business requirement clearly_x000a_- Validate output before production_x000a_- Store reusable queries"/>
    <s v="- AI enables self-service reporting_x000a_- Scalable across teams_x000a_- Reduces workload_x000a_- Supports faster decision making"/>
    <s v="Hassan Mantawy"/>
    <s v="Requires Oracle schema documentation and approved table/view scope; DBA validation mandatory"/>
    <s v="Yes"/>
    <s v="Planned"/>
    <s v="Claude AI"/>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5"/>
    <m/>
    <s v="Q2 2026"/>
    <m/>
    <x v="2"/>
    <s v="Updated from More Elaboration Needed to Accepted Idea because the row now provides enough business value, AI fit, feasibility, and implementation readiness to move forward under governed review."/>
    <x v="0"/>
  </r>
  <r>
    <n v="72"/>
    <x v="4"/>
    <s v="ERP"/>
    <s v="ERP-AI-004"/>
    <s v="AI-Augmented Oracle HCM Cloud Implementation Strategy"/>
    <s v="This proposal introduces a Knowledge-Based Agent System that serves as an institutional expert across all Oracle HCM implementation phases. The system comprises two foundational components:_x000a_•_x0009_Centralized Knowledge Repository: A structured database containing historical project documentation (BRDs, fit-gap analyses, meeting minutes, MoSCoW prioritizations, future-state process maps, solution designs, technical specifications) and verified government policies from official sources (labor regulations, social insurance requirements, taxation rules, localization standards). Documents are tagged with metadata including industry vertical, public/private sector classification, implemented modules, and country-specific requirements._x000a_•_x0009_AI Agent Layer: A generative AI system trained on the knowledge repository, capable of retrieval-augmented generation (RAG), natural language interaction, document drafting, policy analysis, and predictive risk assessment. The agent operates through defined workflows aligned with implementation methodology phases._x000a_"/>
    <n v="46024"/>
    <s v="Entire Project Phases"/>
    <s v="Productivity Enhancement"/>
    <m/>
    <n v="12"/>
    <n v="5"/>
    <s v="•_x0009_Time saved (estimated): 40% faster project delivery._x000a_•_x0009_Effort reduced: 30-50% reduction in documentation workload._x000a_•_x0009_Quality improvement: 40% fewer defects, 60% improved policy compliance, 35% better requirement completeness._x000a_•_x0009_Reduction in errors or rework._x000a_"/>
    <m/>
    <s v="The system leverages vector database for semantic similarity matching. Documents undergo preprocessing: text extraction, embedding generation using OpenAI or Oracle Cohere models, and metadata tagging._x000a_The AI agent utilizes a large language model (Oracle Generative AI, Azure OpenAI GPT-4, or AWS) configured for retrieval-augmented generation. When queried, the system retrieves top relevant document chunks, injects them as context into the prompt, and generates responses grounded in organizational knowledge._x000a_"/>
    <s v="Faster kickoff, reduced policy research effort, improved proposal quality._x000a__x000a_Faster fit-gap completion, better solution consistency, improved requirement coverage._x000a__x000a_Faster configuration setup, fewer errors, quicker data mapping._x000a__x000a_Faster test preparation, broader coverage, quicker defect resolution, fewer post-go-live issues._x000a__x000a_Faster training preparation, higher adoption, reduced support tickets._x000a__x000a_Faster issue resolution, more optimization opportunities, increased managed services value."/>
    <s v="Hossam Farag"/>
    <s v="Phased program requiring curated historical project assets, metadata discipline, and governed operating model"/>
    <s v="Yes"/>
    <s v="Planned"/>
    <s v="Vector Database, LLM, RAG tools"/>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7"/>
    <m/>
    <s v="Q2-Q3 2026"/>
    <m/>
    <x v="2"/>
    <s v="Updated from More Elaboration Needed to Accepted Idea because the row now provides enough business value, AI fit, feasibility, and implementation readiness to move forward under governed review."/>
    <x v="0"/>
  </r>
  <r>
    <n v="73"/>
    <x v="4"/>
    <s v="ERP"/>
    <s v="ORACLE-AI-013"/>
    <s v="Supplier Aging Report Analysis Agent"/>
    <s v="Custom AI agent that analyzes supplier aging reports and procurement documents, providing context-aware insights on outstanding balances, payment trends, and supplier risk indicators."/>
    <n v="45949"/>
    <s v="Development"/>
    <s v="Custom AI Agent"/>
    <s v="Financial Analysis"/>
    <n v="6"/>
    <n v="2"/>
    <s v="Reduces aging report analysis time and improves supplier risk visibility"/>
    <m/>
    <s v="Clarify document scope; obtain legal/compliance clearance for document ingestion; build RAG pipeline with data residency controls."/>
    <s v="Custom RAG solution; requires compliance clearance and document governance"/>
    <s v="Reham Ibrahim"/>
    <s v="Requires legal/compliance clearance for document ingestion; data residency controls needed"/>
    <s v="Yes"/>
    <s v="Planned"/>
    <s v="ChatGPT, Azure OpenAI"/>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n v="4"/>
    <m/>
    <s v="Q2-Q3 2026"/>
    <m/>
    <x v="2"/>
    <s v="Updated from More Elaboration Needed to Accepted Idea because the row now provides enough business value, AI fit, feasibility, and implementation readiness to move forward under governed review."/>
    <x v="0"/>
  </r>
  <r>
    <n v="74"/>
    <x v="5"/>
    <m/>
    <m/>
    <s v="update code for a specific requirement"/>
    <s v="AI assistance review your code base, suggest changes, _x000a_you try it, AI assistance suggest solutions for errors in execution time."/>
    <m/>
    <s v="Development"/>
    <s v="Backend-Frontend"/>
    <m/>
    <m/>
    <m/>
    <m/>
    <m/>
    <m/>
    <m/>
    <m/>
    <m/>
    <m/>
    <m/>
    <m/>
    <m/>
    <x v="2"/>
    <s v="Not Accepted – Too Vague"/>
    <s v="The current entry is too generic or under-specified to govern as an AI use case. It needs clear platform context, measurable business value, and a defined delivery path before reconsideration."/>
    <s v="Low AI fit in the current form. The requested outcome is primarily deterministic engineering/automation work and is better implemented through standard tooling, templates, policies, or scripts than through AI-led generation."/>
    <s v="Use generic IDE copilot / prompt / agent assistance as an individual productivity aid only. Do not treat this as a governed AI use case until the platform, owner, workflow, KPI, and expected impact are explicitly defined."/>
    <m/>
    <m/>
    <m/>
    <m/>
    <x v="1"/>
    <s v="Kept as Not Accepted Idea because the row still lacks enough specificity to govern as an AI use case. The revised rationale makes the gap explicit and requests a bounded re-submission."/>
    <x v="0"/>
  </r>
  <r>
    <n v="75"/>
    <x v="5"/>
    <m/>
    <s v="PM-01"/>
    <s v="Project Planning"/>
    <s v="AI-Assisted Project Planning &amp; Scheduling"/>
    <m/>
    <s v="Planning"/>
    <s v="Planning"/>
    <m/>
    <s v="PMs manually estimate timelines using past experience, spreadsheets, and scheduling tools. Takes time depdening upon the size of a project; estimation accuracy varies widely."/>
    <s v="AI models analyze historical project data, resource capacity, and dependencies to generate optimized schedules. Done in hours with scenario simulations."/>
    <s v="40-50% faster planning; data-driven estimates; built-in risk buffering; better resource utilization"/>
    <m/>
    <s v="Historical project data, WBS, resource availability, team capacity, dependency list, project constraints"/>
    <s v="Integrate AI planning tools, MS Project  and Copilot. Feed historical project data to improve model accuracy over time."/>
    <s v="PM"/>
    <m/>
    <m/>
    <m/>
    <m/>
    <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representative sample dataset with known rules and target structure._x000a_2) Measure effort reduction, mapping accuracy, and defect/rework rate._x000a_3) Promote reusable mappings, prompts, and validation checklist after SME sign-off."/>
    <m/>
    <m/>
    <m/>
    <m/>
    <x v="2"/>
    <s v="Updated from More Elaboration Needed to Accepted Idea because the row now provides enough business value, AI fit, feasibility, and implementation readiness to move forward under governed review."/>
    <x v="0"/>
  </r>
  <r>
    <n v="76"/>
    <x v="5"/>
    <m/>
    <s v="PM-02"/>
    <s v="Planning / Execution"/>
    <s v="Intelligent Risk Identification &amp; Mitigation"/>
    <m/>
    <s v="Planning / Execution"/>
    <s v="Planning / Execution"/>
    <m/>
    <s v="Risk workshops take varied time period. Risk registers are manually maintained. Early warning signals are often missed until issues escalate."/>
    <s v="AI continuously scans project signals (schedule, budget, velocity) to flag emerging risks and recommend mitigations proactively."/>
    <s v="Proactive risk management; 30-40% fewer surprises; reduced cost of late-stage rework"/>
    <m/>
    <s v="Project schedule, budget burn data, team velocity, issue logs, stakeholder sentiment, change request history"/>
    <s v="Deploy AI risk engines. Define risk thresholds and escalation protocols to operationalize AI alerts."/>
    <s v="PM"/>
    <m/>
    <m/>
    <m/>
    <m/>
    <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77"/>
    <x v="0"/>
    <m/>
    <s v="ADI-AI-0034"/>
    <s v="Reusable Prompt Library"/>
    <s v="We need a Prompt Engineering library comprising reusable prompts and agents tailored to the different stages of a Secure SDLC. The library should support multiple technologies—primarily Java, .NET, Angular, and Spring Boot—and address key dimensions such as security, code review, best practices, testing, refactoring, and architecture. It should also be designed for easy customization to meet the specific needs of each project."/>
    <s v="1/27/2026"/>
    <s v="Development"/>
    <s v="Backend-Frontend"/>
    <s v="Code Generation"/>
    <m/>
    <m/>
    <s v="1. Standardized AI Usage Across Projects_x000a_2. Faster Developer Onboarding_x000a_3. Improved Code Quality and Security_x000a_4. Increased Development Productivity"/>
    <s v="Many"/>
    <m/>
    <m/>
    <m/>
    <s v="Dependencies:_x000a_- Access to development standards and coding guidelines_x000a_- Security standards and secure coding policies_x000a_- Architecture documentation templates_x000a__x000a_Support Needed:_x000a_- collaboration between architects, developers, and security teams to define high-quality prompts_x000a_- repository or platform to store and manage the prompt library_x000a_- documentation describing prompt usage scenarios_x000a__x000a_Additional Comments:_x000a_The prompt library should be designed with modularity and customization in mind, allowing teams to adapt prompts"/>
    <m/>
    <m/>
    <s v="Target Technologies_x000a_-Java_x000a_- Spring Boot_x000a_- .NET_x000a__x000a_AI Tools_x000a_Github Copilot"/>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m/>
    <m/>
    <m/>
    <m/>
    <x v="2"/>
    <s v="Updated from More Elaboration Needed to Accepted Idea because the row now provides enough business value, AI fit, feasibility, and implementation readiness to move forward under governed review."/>
    <x v="0"/>
  </r>
  <r>
    <n v="78"/>
    <x v="0"/>
    <m/>
    <s v="ADI-AI-0037"/>
    <s v="Migrate old design to new modern design pattern"/>
    <s v="Use AI assistance to analyze existing legacy system designs and architecture documents, then propose and document a modernized design pattern aligned with current enterprise architecture practices."/>
    <s v="1/27/2026"/>
    <s v="Design"/>
    <s v="Design"/>
    <s v="Design modernization - Non code"/>
    <m/>
    <m/>
    <s v="1. Faster Architecture Design Preparation_x000a_2. Consistency Across Design Documents_x000a_3. Faster Modernization Planning"/>
    <m/>
    <s v="1) Analyze the existing COBOL-based ATHS module to understand current business logic, dependencies, input/output structures, and integration points._x000a__x000a_2) Identify candidate components and services for modernization based on business capability, technical complexity, and migration priority._x000a__x000a_3) Define the target modern architecture, including service decomposition, integration approach, data handling, and technology stack alignment._x000a__x000a_4) Use AI tools to assist in understanding legacy code, extracting logic, documenting flows, and suggesting equivalent modern design and code structure._x000a__x000a_5) Migrate the functionality incrementally to the new architecture while preserving business behavior and validation rules._x000a__x000a_6) Validate migrated components through functional testing, comparison with legacy outputs, and integration testing with surrounding systems._x000a__x000a_7) Ensure proper handling of performance, security, logging, and operational support requirements in the modernized solution._x000a__x000a_8) Maintain architect and SME review throughout the process to confirm correctness and avoid misinterpretation of legacy logic._x000a__x000a_9) Document the migrated design, service interfaces, and key transformation decisions for future maintainability._x000a__x000a_10) Establish a phased rollout and fallback approach to reduce migration risk and ensure business continuity."/>
    <m/>
    <s v="Amr Morad"/>
    <s v="Dependencies:_x000a_- Availability of existing architecture documentation such as HLD, LLD, system integration diagrams, technical design document, and code repositories_x000a_- Access to architectural standards and modernization guidelines used by the organization._x000a__x000a_Support Needed:_x000a_- Involvement of solution architects to validate modernization proposals_x000a_- Access to AI tools capable of analyzing architecture documents and suggesting design patterns_x000a_- collaboration with development teams to assess feasibility of proposed designs_x000a__x000a_Additional Remarks/Comments:_x000a_This use case is particularly valuable for organizations maintaining legacy monolithic systems that need to be modernized to support new business requirements and technology platforms."/>
    <s v="Migrate old code written in cobol (ATHS module) to modern archtecture"/>
    <s v="Planned"/>
    <s v="Input Sources_x000a_- Existing HLD and LLD documents_x000a_- Architecture diagrams_x000a_- System documentation_x000a_- Code repositories_x000a__x000a__x000a_Target Architecture Technologies_x000a_- Microservices architecture_x000a_- REST APIs_x000a_- Event-driven integration_x000a__x000a_AI Tools_x000a_Github Copilot"/>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It should be at least 20%"/>
    <s v="It needs Cobol expert + at least 10 days"/>
    <s v="End of June"/>
    <m/>
    <x v="2"/>
    <s v="Updated from More Elaboration Needed to Accepted Idea because the row now provides enough business value, AI fit, feasibility, and implementation readiness to move forward under governed review."/>
    <x v="0"/>
  </r>
  <r>
    <n v="79"/>
    <x v="0"/>
    <m/>
    <s v="ADI-AI-0038"/>
    <s v="NFRs handling (understanding and generation)"/>
    <s v="Understand existing and taking care of NFRs (e.g. performance)"/>
    <s v="1/27/2026"/>
    <s v="Design"/>
    <s v="Design"/>
    <s v="NFRs handling - Non code"/>
    <m/>
    <m/>
    <s v="NFRs handling"/>
    <m/>
    <m/>
    <m/>
    <m/>
    <m/>
    <m/>
    <m/>
    <m/>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s v="It should be at least 20%"/>
    <s v="It needs legacy code experts + at least 10 days"/>
    <m/>
    <m/>
    <x v="2"/>
    <s v="Updated from More Elaboration Needed to Accepted Idea because the row now provides enough business value, AI fit, feasibility, and implementation readiness to move forward under governed review."/>
    <x v="0"/>
  </r>
  <r>
    <n v="80"/>
    <x v="0"/>
    <m/>
    <s v="ADI-AI-0040"/>
    <s v="Microservice Java Development using Spring Boot"/>
    <s v="Develop a reusable prompt library for Java microservices development, aligned with standardized practices, architectural patterns, project structure, and frameworks, within the context of the IBKR project in ARC. The project is currently in progress and dependent on the customer’s timeline, and may require support from Microsoft."/>
    <d v="2026-01-02T00:00:00"/>
    <s v="Development"/>
    <s v="Backend"/>
    <s v="Code Generation"/>
    <m/>
    <m/>
    <s v="Faster delivery with consistent and standardized practices"/>
    <m/>
    <s v="Define the standardized practices, patterns, and mandated frameworks, and develop a reusable prompt library accordingly within the project implementation context"/>
    <s v="Faster delivery with consistent qualities"/>
    <m/>
    <m/>
    <m/>
    <m/>
    <m/>
    <s v="Ahmed Fadl"/>
    <x v="0"/>
    <s v="Accepted – Ready for Scale"/>
    <s v="Strong engineering case; add owner, toolchain, pilot scope, and measurable KPI."/>
    <s v="High feasibility for AI-assisted microservice development when bounded to scaffolding, API contracts, tests, and documentation under secure coding guardrails. Risk comes from unchecked business-logic generation or weak review discipline."/>
    <s v="1) Define Spring Boot standards, security rules, project structure, and API conventions for IBKR/ARC. 2) Build reusable prompts for controllers, services, DTOs, tests, and docs. 3) Use approved AI assistant in IDE. 4) Enforce peer review, SAST, and CI test gates on every AI-assisted change. 5) Measure cycle-time, rework, and defect escape rate."/>
    <m/>
    <m/>
    <m/>
    <m/>
    <x v="0"/>
    <s v="Accepted – Ready for Scale"/>
    <x v="0"/>
  </r>
  <r>
    <n v="81"/>
    <x v="0"/>
    <m/>
    <s v="ADI-BA-02"/>
    <s v="Gap Analysis Reports"/>
    <s v="Automated current-state vs future-state gap analysis with remediation recommendations"/>
    <d v="2026-01-01T00:00:00"/>
    <s v="Analysis"/>
    <s v="Strategy Analysis"/>
    <s v="Gap Analysis"/>
    <m/>
    <m/>
    <m/>
    <m/>
    <s v="Provide as-is and to-be documentation; AI identifies gaps; BA prioritizes actions"/>
    <s v="Systematic gap identification prevents scope creep"/>
    <s v="Mostafa Alqazaz"/>
    <s v="Requires business context"/>
    <s v="No"/>
    <m/>
    <m/>
    <s v="Ahmed Fadl"/>
    <x v="0"/>
    <s v="Accepted – Ready for Scale"/>
    <s v="Useful analysis accelerator; missing KPI, owner, tools, and adoption scope."/>
    <s v="High feasibility if as-is and to-be artifacts are available and business context is sufficient. AI is effective for surfacing structured gaps and remediation options, but BA/SME validation remains essential."/>
    <s v="1) Upload current-state and future-state artifacts. 2) Prompt AI to classify gaps by process, data, controls, and technology. 3) Generate remediation recommendations and priority bands. 4) BA/SME validate each gap. 5) Publish approved gap-analysis report and track analysis effort reduction."/>
    <m/>
    <m/>
    <m/>
    <m/>
    <x v="0"/>
    <s v="Accepted – Ready for Scale"/>
    <x v="0"/>
  </r>
  <r>
    <n v="82"/>
    <x v="0"/>
    <m/>
    <s v="ADI-BA-03"/>
    <s v="Process Flow Diagrams"/>
    <s v="Automated BPMN/flowchart generation from process descriptions and business rules"/>
    <d v="2026-01-01T00:00:00"/>
    <s v="Analysis"/>
    <s v="Requirements Analysis"/>
    <s v="Process Modeling"/>
    <m/>
    <m/>
    <m/>
    <m/>
    <s v="Describe business process steps; AI creates BPMN diagrams; Validate with stakeholders"/>
    <s v="Visual models improve stakeholder communication"/>
    <s v="Mostafa Alqazaz"/>
    <s v="Works with structured inputs"/>
    <s v="No"/>
    <m/>
    <m/>
    <s v="Ahmed Fadl"/>
    <x v="0"/>
    <s v="Accepted – Ready for Scale"/>
    <s v="Promising process-modeling aid; add toolchain, KPI, owner, and output standard."/>
    <s v="High feasibility when process inputs are structured and BPMN/flowchart standards are defined. Risk is over-simplified flows or missing exception paths if narrative inputs are weak."/>
    <s v="1) Capture process narratives, actors, decisions, and exceptions in a template. 2) Use AI to generate BPMN/flowchart draft. 3) Export to approved modeling tool. 4) Validate with stakeholders and BA. 5) Baseline final diagram and measure diagram drafting time before vs after."/>
    <m/>
    <m/>
    <m/>
    <m/>
    <x v="0"/>
    <s v="Accepted – Ready for Scale"/>
    <x v="0"/>
  </r>
  <r>
    <n v="83"/>
    <x v="0"/>
    <m/>
    <s v="ADI-BA-04"/>
    <s v="Data Model Creation"/>
    <s v="AI-assisted entity-relationship diagram and data dictionary generation from requirements"/>
    <d v="2026-01-01T00:00:00"/>
    <s v="Analysis"/>
    <s v="Solution Design"/>
    <s v="Data Modeling"/>
    <m/>
    <m/>
    <s v="1) Define the end-to-end B2B2C flow covering onboarding, station setup, payment initiation (QR/mobile), refunds, and reporting._x000a__x000a_2) Extend Business Portal to support fuel company onboarding, wallet product activation, station management, and role-based access._x000a__x000a_3) Introduce “Business Wallet Collection” product within URPAY and align it with consumer wallet capabilities and regulatory requirements._x000a__x000a_4) Implement station management capabilities including GPS location upload, QR code generation, and station-level user creation with controlled permissions._x000a__x000a_5) Enable multi-channel payment initiation (QR scan and mobile number) with real-time transaction processing._x000a__x000a_6) Design and implement real-time reconciliation covering payments, refunds, and dispute handling._x000a__x000a_7) Ensure secure and compliant transaction processing aligned with PCI-DSS and local regulatory requirements._x000a__x000a_8) Integrate all components (Portal, Wallet, Payment channels, Backend systems) through standardized APIs and orchestration layer._x000a__x000a_9) Implement monitoring, reporting, and analytics for business users covering transactions, settlements, and operational insights._x000a__x000a_10) Leverage AI tools to assist in generating design artifacts, flows, and integration patterns, with mandatory architect validation."/>
    <m/>
    <s v="Describe data entities in requirements; AI generates ERD and attributes; DBA reviews"/>
    <s v="Captures data relationships that might be overlooked"/>
    <s v="Amr Morad"/>
    <s v="Requires technical review"/>
    <s v="Gas Station Payments:_x000a_Highlevel flow: Business onboarding → Wallet GAS Payment product → station/QR setup → dual payment (QR/mobile) → refund approval → reporting. _x000a_Fuel company signs up via NL Business Portal. _x000a_New &quot;Business Wallet Collection&quot; product enabled for URPAY consumer wallets. _x000a_Company uploads station GPS locations; system generates station QR codes. _x000a_Station users created (limited permissions) to initiate payment requests. _x000a_Payment via URPAY QR scan or mobile number request. _x000a_Real-time payment &amp; refund flows with approval steps. _x000a_Comprehensive reporting. _x000a__x000a_This isn't just a payment button. We're building an entire B2B2C ecosystem that includes: _x000a_Business Portal expansion (new services, permissions, reporting) _x000a_New Payment Product in URPAY (regulatory compliance, wallet integration) _x000a_Station Management System (geolocation, QR generation, user roles) _x000a_Real-time Reconciliation Engine (payments + refunds + disputes) _x000a_Multi-channel Integration (QR, mobile number, future NFC) _x000a_Compliance &amp; Security (PCI-DSS, Saudi payment regulations) "/>
    <s v="Planned"/>
    <s v="Input Sources_x000a_- Approved requirements documentations_x000a_- Existing HLD and LLD documents_x000a_- Architecture diagrams_x000a_- System documentation_x000a_- Code repositories_x000a__x000a__x000a_Target Architecture Technologies_x000a_- Microservices architecture_x000a_- REST APIs_x000a_- Event-driven integration_x000a__x000a_AI Tools_x000a_Github Copilot_x000a_"/>
    <s v="Ahmed Fadl"/>
    <x v="0"/>
    <s v="Accepted – Ready for Implementation"/>
    <s v="Good data-modeling aid; add measurable benefit, owner, tool, and review flow."/>
    <s v="High feasibility as an accelerator for ERD and data-dictionary drafts, not as a DBA replacement. Technical review is mandatory because AI may infer incorrect cardinality or naming if requirements are incomplete."/>
    <s v="1) Input entities, business terms, and sample attributes from requirements. 2) Ask AI to draft ERD, relationships, and data dictionary. 3) DBA/architect review cardinality, keys, naming, and normalization. 4) Approve and publish model. 5) Track modeling turnaround time and rework rate."/>
    <s v="It should be at least 20%"/>
    <m/>
    <s v="Planned Design efforts was 55 MDs"/>
    <m/>
    <x v="0"/>
    <s v="Accepted – Ready for Implementation"/>
    <x v="0"/>
  </r>
  <r>
    <n v="84"/>
    <x v="0"/>
    <m/>
    <s v="ADI-BA-06"/>
    <s v="Requirements Document Generation"/>
    <s v="AI-powered automated generation of BRD/FRS documents from stakeholder interviews and notes"/>
    <d v="2026-01-01T00:00:00"/>
    <s v="Analysis"/>
    <s v="Document Automation"/>
    <s v="Requirements Engineering"/>
    <m/>
    <m/>
    <m/>
    <m/>
    <s v="Use AI to structure notes into BRD sections; Review and validate AI output; Maintain quality standards"/>
    <s v="AI accelerates documentation but BA expertise remains critical for validation"/>
    <m/>
    <s v="Requires BA review for accuracy"/>
    <m/>
    <m/>
    <m/>
    <s v="Ahmed Fadl"/>
    <x v="0"/>
    <s v="Accepted – Ready for Scale"/>
    <s v="Practical documentation case; missing KPI, owner, tool, and confidentiality controls."/>
    <s v="High feasibility for structuring interview notes into BRD/FRS sections if a review gate exists. Risk is introducing assumptions or omitting nuances from stakeholder narratives."/>
    <s v="1) Collect and redact interview notes/transcripts. 2) Use AI to organize content into BRD/FRS sections and open questions. 3) BA validates accuracy and fills gaps. 4) Publish reviewed draft only. 5) Track document-preparation time and review iterations saved."/>
    <m/>
    <m/>
    <m/>
    <m/>
    <x v="0"/>
    <s v="Accepted – Ready for Scale"/>
    <x v="0"/>
  </r>
  <r>
    <n v="85"/>
    <x v="0"/>
    <m/>
    <s v="ADI-BA-07"/>
    <s v="Non-Functional Requirements Specification"/>
    <s v="AI-assisted NFRS creation covering performance, security, scalability, and usability"/>
    <d v="2026-01-01T00:00:00"/>
    <s v="Analysis"/>
    <s v="Requirements Development"/>
    <s v="NFR Documentation"/>
    <m/>
    <m/>
    <s v="1. Faster NFR Documentation Preparation_x000a_2. Improved System Quality Planning_x000a_3. Reduced Risk of Missing Critical Requirements"/>
    <m/>
    <s v="Describe system characteristics; AI generates NFR specifications; Architect validates"/>
    <s v="Ensures critical quality attributes aren't overlooked"/>
    <m/>
    <s v="Dependencies:_x000a_- Availability of functional requirements and use cases_x000a_- Architecture documentation (HLD or system overview)_x000a_- Operational constraints and infrastructure standards_x000a_- Security and compliance guidelines_x000a__x000a_Support Needed:_x000a_- Access to AI tools capable of analyzing requirements and generating structured specifications_x000a_- Validation support from solution architects and infrastructure teams_x000a_- Alignment with existing NFR documentation standards_x000a__x000a_Additional Remarks/Comments:_x000a_This use case is particularly valuable during system design and architecture phases, ensuring that non-functional requirements are identified early and incorporated into the system design."/>
    <m/>
    <m/>
    <s v="Input Sources:_x000a_- BRD documents_x000a_- Use case documentation_x000a_- Architecture design documents_x000a_- System constraints_x000a_- Infrastructure guidelines_x000a__x000a_Target Artifacts:_x000a_- Non-Functional Requirements Specification (NFRS)_x000a_- Quality attribute matrix_x000a_- System constraints documentation_x000a_- Architecture quality requirements_x000a__x000a_AI Tools_x000a_Github Copilot"/>
    <s v="Ahmed Fadl"/>
    <x v="0"/>
    <s v="Accepted – Ready for Scale"/>
    <s v="Strong NFR case; add owner, selected status, and pilot metrics."/>
    <s v="High feasibility if fed with FRs, architecture context, infrastructure constraints, and compliance standards. Risk is generic NFR text unless prompts force measurable thresholds and system-specific constraints."/>
    <s v="1) Collect FRs, architecture docs, security/compliance standards, and infrastructure constraints. 2) Use AI to generate draft NFRS with measurable thresholds. 3) Architect/security/infrastructure teams validate and adjust. 4) Baseline approved NFRS. 5) Measure missed-NFR issues and preparation time before vs after."/>
    <m/>
    <m/>
    <m/>
    <m/>
    <x v="0"/>
    <s v="Accepted – Ready for Scale"/>
    <x v="0"/>
  </r>
  <r>
    <n v="86"/>
    <x v="0"/>
    <m/>
    <s v="ADI-BA-09"/>
    <s v="Acceptance Criteria Creation"/>
    <s v="Automated generation of Gherkin scenarios and acceptance criteria from functional requirements"/>
    <d v="2026-01-01T00:00:00"/>
    <s v="Analysis"/>
    <s v="Requirements Development"/>
    <s v="Acceptance Testing"/>
    <m/>
    <m/>
    <m/>
    <m/>
    <s v="Input functional requirements into AI; Generate Given-When-Then scenarios; Review for completeness"/>
    <s v="AI generates comprehensive test scenarios that BAs might miss"/>
    <s v="Ahmed ElShahat "/>
    <s v="Works best with clear FRs"/>
    <m/>
    <m/>
    <m/>
    <s v="Ahmed Fadl"/>
    <x v="0"/>
    <s v="Accepted – Ready for Scale"/>
    <s v="Useful testing aid; add KPI, owner, tool, and quality review workflow."/>
    <s v="High feasibility for transforming clear functional requirements into Gherkin and acceptance criteria. Risk is false completeness when source requirements are ambiguous or missing exception paths."/>
    <s v="1) Feed approved functional requirements into structured prompt. 2) Ask AI to generate Given-When-Then scenarios and acceptance criteria. 3) BA/QA review for completeness and business logic. 4) Publish to backlog/test repository. 5) Track criteria-preparation time and escaped requirement defects."/>
    <m/>
    <m/>
    <m/>
    <m/>
    <x v="0"/>
    <s v="Accepted – Ready for Scale"/>
    <x v="0"/>
  </r>
  <r>
    <n v="87"/>
    <x v="0"/>
    <m/>
    <s v="ADI-BA-10"/>
    <s v="User Story Creation (Agile)"/>
    <s v="Automated user story generation with acceptance criteria for agile projects"/>
    <d v="2026-01-01T00:00:00"/>
    <s v="Analysis"/>
    <s v="Agile Requirements"/>
    <s v="User Story Writing"/>
    <m/>
    <m/>
    <m/>
    <m/>
    <s v="Describe user needs; AI creates stories in standard format; Product Owner reviews"/>
    <s v="Accelerates backlog creation and refinement"/>
    <s v="Mostafa Alqazaz"/>
    <s v="Best for agile contexts"/>
    <s v="No"/>
    <m/>
    <m/>
    <s v="Ahmed Fadl"/>
    <x v="0"/>
    <s v="Accepted – Ready for Scale"/>
    <s v="Useful agile accelerator; missing KPI, owner, tooling, and backlog governance."/>
    <s v="High feasibility in agile teams when user needs and personas are well defined. AI can accelerate story drafting, but Product Owner review is mandatory to ensure prioritization and value alignment."/>
    <s v="1) Provide persona, need, value, and context in a story template. 2) Use AI to generate user stories and acceptance criteria. 3) Product Owner/BA review and refine. 4) Add approved stories to backlog. 5) Measure backlog drafting/refinement time before vs after."/>
    <m/>
    <m/>
    <m/>
    <m/>
    <x v="0"/>
    <s v="Accepted – Ready for Scale"/>
    <x v="0"/>
  </r>
  <r>
    <n v="88"/>
    <x v="0"/>
    <m/>
    <s v="ADI-BA-11"/>
    <s v="Requirements Specification Review"/>
    <s v="AI-powered analysis of requirements documents for quality, completeness, and consistency"/>
    <d v="2026-01-01T00:00:00"/>
    <s v="Analysis"/>
    <s v="Quality Assurance"/>
    <s v="Document Review"/>
    <m/>
    <m/>
    <m/>
    <m/>
    <s v="Upload BRD/FRS; AI analyzes against standards; BA addresses findings"/>
    <s v="Provides objective quality metrics for deliverables"/>
    <s v="Ahmed ElShahat "/>
    <s v="Augments peer review"/>
    <m/>
    <m/>
    <m/>
    <s v="Ahmed Fadl"/>
    <x v="0"/>
    <s v="Accepted – Ready for Scale"/>
    <s v="Strong QA use case; add KPI, owner, tool, and remediation workflow."/>
    <s v="High feasibility for document-quality checks against templates and standards. Risk is over-reporting issues unless review criteria and severity definitions are standardized."/>
    <s v="1) Upload BRD/FRS and standards/template checklist. 2) Ask AI to score completeness, consistency, ambiguity, and traceability issues. 3) BA reviews findings and disposition. 4) Re-run after updates. 5) Track review effort, defect density, and document quality score improvement."/>
    <m/>
    <m/>
    <m/>
    <m/>
    <x v="0"/>
    <s v="Accepted – Ready for Scale"/>
    <x v="0"/>
  </r>
  <r>
    <n v="89"/>
    <x v="0"/>
    <m/>
    <s v="ADI-BA-12"/>
    <s v="Requirements Validation Checklists"/>
    <s v="AI-generated quality check lists to validate completeness and SMART criteria"/>
    <d v="2026-01-01T00:00:00"/>
    <s v="Analysis"/>
    <s v="Quality Assurance"/>
    <s v="Requirements Validation"/>
    <m/>
    <m/>
    <m/>
    <m/>
    <s v="Submit requirements document; AI generates validation checklist; BA performs review"/>
    <s v="Ensures all quality dimensions are evaluated"/>
    <s v="Mostafa Alqazaz"/>
    <s v="Complements BA judgment"/>
    <s v="Yes"/>
    <m/>
    <m/>
    <s v="Ahmed Fadl"/>
    <x v="0"/>
    <s v="Accepted – Ready for Scale"/>
    <s v="Helpful quality aid; add toolchain, KPI, owner, and governance model."/>
    <s v="Moderate-to-high feasibility. AI can generate validation checklists from requirement content and quality standards, but the use case is closer to structured augmentation than deep autonomous reasoning."/>
    <s v="1) Provide requirement docs plus SMART/quality criteria. 2) Generate checklist by category: completeness, clarity, testability, traceability. 3) BA applies checklist and records findings. 4) Refine prompts from reviewer feedback. 5) Track checklist-preparation time and review coverage."/>
    <m/>
    <m/>
    <m/>
    <m/>
    <x v="0"/>
    <s v="Accepted – Ready for Scale"/>
    <x v="0"/>
  </r>
  <r>
    <n v="90"/>
    <x v="0"/>
    <m/>
    <s v="ADI-BA-13"/>
    <s v="SRS Technical Specification"/>
    <s v="AI-powered solution architecture and technical specification generation from requirements"/>
    <d v="2026-01-01T00:00:00"/>
    <s v="Analysis"/>
    <s v="Solution Design"/>
    <s v="Technical Documentation"/>
    <m/>
    <m/>
    <s v="1. Faster Translation of Requirements to Technical Design_x000a_2. Improved Consistency of Technical Documentation_x000a_3. Faster Development Readiness"/>
    <m/>
    <s v="Input approved requirements; AI generates SRS sections; Architect validates"/>
    <s v="Bridges business and technical documentation"/>
    <m/>
    <s v="Dependencies:_x000a_- Availability of requirement inputs such as:_x000a_    * BRD documents_x000a_    * Use case documentation_x000a_    * business rules documentation_x000a_    * Architecture constraints_x000a_- Access to architecture standards and documentation templates used by the organization._x000a__x000a_Support Needed:_x000a_- Involvement of solution architects to validate generated technical specifications_x000a_- Access to AI tools capable of generating structured architecture and technical documentation_x000a_- Alignment with development standards and technology stacks used by the organization_x000a__x000a_Additional Remarks/Comments:_x000a_This use case is especially valuable in environments where technical specifications must be produced quickly while maintaining architectural consistency."/>
    <m/>
    <m/>
    <s v="Input Sources_x000a_- BRD documents_x000a_- Use case specifications_x000a_- business rules documentation_x000a_- Architecture guidelines_x000a__x000a_Target Artifacts_x000a_- Software Requirements Specification (SRS)_x000a_- Architecture diagrams_x000a_- API specifications_x000a__x000a_AI Tools_x000a_GitHub Copilot"/>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91"/>
    <x v="0"/>
    <m/>
    <s v="ADI-BA-14"/>
    <s v="Requirements Traceability Matrix"/>
    <s v="Automated RTM generation and maintenance linking requirements to design and test cases"/>
    <d v="2026-01-01T00:00:00"/>
    <s v="Analysis"/>
    <s v="Requirements Management"/>
    <s v="Traceability"/>
    <m/>
    <m/>
    <m/>
    <m/>
    <s v="Upload all requirement documents; AI creates bidirectional links; Maintain updates"/>
    <s v="Eliminates manual matrix maintenance errors"/>
    <m/>
    <s v="Needs periodic validation"/>
    <m/>
    <m/>
    <m/>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92"/>
    <x v="0"/>
    <m/>
    <s v="ADI-BA-15"/>
    <s v="Requirements Impact Analysis"/>
    <s v="AI-powered change impact assessment across requirements, design, and test artifacts"/>
    <d v="2026-01-01T00:00:00"/>
    <s v="Analysis"/>
    <s v="Requirements Management"/>
    <s v="Change Management"/>
    <m/>
    <m/>
    <m/>
    <m/>
    <s v="Input change request; AI traces impacts via RTM; BA assesses effort"/>
    <s v="Prevents underestimation of change complexity"/>
    <m/>
    <s v="Critical for change control"/>
    <m/>
    <m/>
    <m/>
    <s v="Ahmed Fadl"/>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m/>
    <m/>
    <m/>
    <m/>
    <x v="2"/>
    <s v="Updated from More Elaboration Needed to Accepted Idea because the row now provides enough business value, AI fit, feasibility, and implementation readiness to move forward under governed review."/>
    <x v="0"/>
  </r>
  <r>
    <n v="93"/>
    <x v="4"/>
    <s v="GRC"/>
    <s v="BFSI-GRC-01"/>
    <s v="SQL Code Optimization"/>
    <s v="using AI to optimize the SQL queries to remove full table scan._x000a_In some of our PL/SQL code (SQL Queries), we are getting Full table scan. So in all such cases if the table is very huge, then the query performance is getting very slow and the execution time is very high which results in poor performance. So we need to optimize the code for to achieve better performance"/>
    <d v="2026-02-26T00:00:00"/>
    <s v="Development"/>
    <s v="Backend"/>
    <s v="Development Acceleration and optimization"/>
    <s v="5 Hours if performed manually"/>
    <s v="1 hour"/>
    <s v="80% reduction in time"/>
    <s v="2 Developers"/>
    <s v="1. Identifying the query that needs to optimized using the Execution plan in Toad or SQL Developer._x000a_2. Clearly defining the joining conditions of different tables being used in the query._x000a_3. Building indexes on the different columns being used on the joinging conditions._x000a_4. taking help of AI to optimize the code"/>
    <s v="Getting Optimized SQL Queries without full table scan"/>
    <s v="Mohamed Essam"/>
    <m/>
    <m/>
    <s v="In Progress"/>
    <s v="Toad for Oracle, Copilot for taking help"/>
    <s v="Omar Ibrahim"/>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s v="It will help us reduce the development time by at least 30%"/>
    <n v="1"/>
    <s v="Project is ending in Jun 2026"/>
    <n v="1"/>
    <x v="2"/>
    <s v="Updated from More Elaboration Needed to Accepted Idea because the row now provides enough business value, AI fit, feasibility, and implementation readiness to move forward under governed review."/>
    <x v="0"/>
  </r>
  <r>
    <n v="94"/>
    <x v="4"/>
    <s v="CES"/>
    <m/>
    <s v="Document Generation"/>
    <s v="AI assistance in analyzing BRDs helping in efficient generation for HLD and LLD structured Diagrams and business models to optimise Technical Leads and designers time"/>
    <m/>
    <s v="Analysis"/>
    <s v="Requirements Analysis"/>
    <m/>
    <s v="132 hours"/>
    <s v="84 hours"/>
    <s v="Reduces documentation effort and improves consistency of HLD/LLD artifacts"/>
    <m/>
    <s v="Use past project documents and templates as grounding input before generating HLD/LLD drafts; Technical Lead reviews before delivery."/>
    <s v="Reusable across multiple projects with minimal setup; standardizes documentation quality"/>
    <s v="Norah Al Wabel"/>
    <m/>
    <m/>
    <m/>
    <s v="Eraser AI &amp; Chatgpt"/>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n v="5"/>
    <m/>
    <s v="Q2 2026"/>
    <m/>
    <x v="3"/>
    <s v="Updated from blank to Accepted Idea because the row now shows enough problem clarity, AI relevance, business value, and a workable delivery path to govern as an AI use case."/>
    <x v="0"/>
  </r>
  <r>
    <n v="95"/>
    <x v="4"/>
    <s v="CES"/>
    <m/>
    <s v="Code optimization"/>
    <s v="Enhancing C# Code to achieve more generic/reusable and better performing services/processes"/>
    <m/>
    <s v="Development"/>
    <s v="Backend"/>
    <m/>
    <n v="4"/>
    <n v="2"/>
    <s v="Improves code quality, reusability, and performance of C# services"/>
    <m/>
    <s v="Use AI on approved internal code artifacts; validate optimized code through code review and automated tests before deployment."/>
    <s v="High value for recurring development optimization activities"/>
    <s v="Norah Al Wabel"/>
    <m/>
    <m/>
    <m/>
    <s v="GitHub Copilot, Claude Co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HLD/LLD or process-design package with architect-approved patterns._x000a_2) Measure draft-preparation time, correction rate, and review-cycle reduction._x000a_3) Reuse only approved templates, diagram rules, and prompt packs."/>
    <n v="2"/>
    <m/>
    <s v="Q2 2026"/>
    <m/>
    <x v="3"/>
    <s v="Updated from blank to Accepted Idea because the row now shows enough problem clarity, AI relevance, business value, and a workable delivery path to govern as an AI use case."/>
    <x v="0"/>
  </r>
  <r>
    <n v="96"/>
    <x v="4"/>
    <s v="EPS"/>
    <s v="EPS-BA-01"/>
    <s v="Meeting Minutes (MoM) Auto-Drafting"/>
    <s v="AI generates structured meeting minutes from recorded meeting transcripts, including attendees, decisions, action items, owners, and due dates, significantly reducing MoM preparation time."/>
    <d v="2026-02-26T00:00:00"/>
    <s v="Analysis"/>
    <s v="Requirements Management"/>
    <s v="Meeting Documentation"/>
    <n v="2"/>
    <n v="0.5"/>
    <s v="Reduces MoM preparation time and improves consistency of meeting documentation"/>
    <n v="1"/>
    <s v="Capture or export meeting transcript; prompt AI to draft structured minutes; reviewer validates wording and confidentiality before sending."/>
    <s v="Reusable across multiple projects with minimal setup"/>
    <s v="Yousef Milhem"/>
    <s v="Requires accurate meeting transcript; sensitive information must be reviewed before external distribution"/>
    <s v="Yes"/>
    <s v="In Progress"/>
    <s v="Microsoft 365 Copilot, ChatGPT"/>
    <s v="Omar Ibrahim"/>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Capture or export meeting transcript, then prompt AI to draft structured minutes with attendees, decisions, actions, owners, and due dates. Reviewer validates wording and confidentiality before sending."/>
    <n v="1.5"/>
    <m/>
    <s v="Q2 2026"/>
    <m/>
    <x v="2"/>
    <s v="Updated from More Elaboration Needed to Accepted Idea because the row now provides enough business value, AI fit, feasibility, and implementation readiness to move forward under governed review."/>
    <x v="0"/>
  </r>
  <r>
    <n v="97"/>
    <x v="4"/>
    <s v="EPS"/>
    <s v="EPS-BA-03"/>
    <s v="Reverse Engineering Logic from Code"/>
    <s v="During Requirement gathering, Shabbir &amp; ALI from ANB side shared the SQL stored procedures code files with us to get details about processing logic in TAPS for enrichment,validations, encryption as well as for narratives building.  I used ChatGpt to reverse engineer the logic. Using this only we could be able to complete our requirement gathering."/>
    <d v="2026-02-26T00:00:00"/>
    <s v="Analysis"/>
    <s v="Requirements Management"/>
    <s v="Requirements Discovery"/>
    <n v="8"/>
    <n v="3"/>
    <s v="Accelerates requirements gathering from legacy code and reduces dependency on original developers"/>
    <n v="1"/>
    <s v="Provide sanitized stored procedures or code files; AI extracts logic, validations, and business rules; BA validates interpretation with SMEs."/>
    <s v="High value for recurring SDLC activities involving legacy systems"/>
    <s v="Yousef Milhem"/>
    <s v="Code confidentiality and analyst validation are mandatory; sanitize code before AI processing"/>
    <s v="Yes"/>
    <s v="In Progress"/>
    <s v="ChatGPT, Claude"/>
    <s v="Omar Ibrahim"/>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Provide sanitized stored procedures or code files, ask AI to extract logic, validations, rules, and narrative flows, then BA validates the interpretation with SMEs before using it in requirements baselines."/>
    <n v="5"/>
    <m/>
    <s v="Q2 2026"/>
    <m/>
    <x v="2"/>
    <s v="Updated from More Elaboration Needed to Accepted Idea because the row now provides enough business value, AI fit, feasibility, and implementation readiness to move forward under governed review."/>
    <x v="0"/>
  </r>
  <r>
    <n v="98"/>
    <x v="4"/>
    <s v="EPS"/>
    <s v="EPS-BA-04"/>
    <s v="SWIFT Message Reference and Sample Generation"/>
    <s v="AI provides reference information on SWIFT message types, general processing flows, and sample data structures when official SWIFT documentation is not accessible, supporting requirements analysis and business discussions."/>
    <d v="2026-02-26T00:00:00"/>
    <s v="Analysis"/>
    <s v="Requirements Management"/>
    <s v="Domain Knowledge Research"/>
    <n v="4"/>
    <n v="1"/>
    <s v="Accelerates SWIFT-related requirements research and reduces dependency on documentation access"/>
    <n v="1"/>
    <s v="Use AI for preliminary orientation and draft sample messages; validate all details against official SWIFT documentation or SME confirmation."/>
    <s v="Useful research accelerator; must verify against official sources"/>
    <s v="Yousef Milhem"/>
    <s v="AI-generated SWIFT details must be verified against official documentation; not to be treated as authoritative"/>
    <s v="Yes"/>
    <s v="In Progress"/>
    <s v="Microsoft 365 Copilot, ChatGPT"/>
    <s v="Omar Ibrahim"/>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Use AI only for preliminary orientation or draft sample messages. Validate all message structures, processing details, and reference data against official SWIFT documentation or SME confirmation before use."/>
    <n v="3"/>
    <m/>
    <s v="Q2 2026"/>
    <m/>
    <x v="2"/>
    <s v="Updated from More Elaboration Needed to Accepted Idea because the row now provides enough business value, AI fit, feasibility, and implementation readiness to move forward under governed review."/>
    <x v="0"/>
  </r>
  <r>
    <n v="99"/>
    <x v="4"/>
    <s v="EPS"/>
    <s v="EPS-BA-05"/>
    <s v="Test Data Generation and Preparation"/>
    <s v="AI generates realistic test data sets based on business scenarios, field constraints, and validation rules, reducing manual test data preparation effort and improving coverage."/>
    <d v="2026-02-26T00:00:00"/>
    <s v="Testing"/>
    <s v="Quality Assurance"/>
    <s v="Test Data Preparation"/>
    <n v="6"/>
    <n v="2"/>
    <s v="Reduces test data preparation effort and improves scenario coverage"/>
    <n v="0"/>
    <s v="Define target scenario types, required fields, validation rules, and masking constraints; AI drafts test data sets; tester validates realism and coverage."/>
    <s v="Best suited for pilot-to-scale adoption with clear data constraints"/>
    <s v="Yousef Milhem"/>
    <s v="Requires clear scenario definitions and data constraint rules; needs structured scope before operationalization"/>
    <s v="Yes"/>
    <s v="Planned"/>
    <s v="ChatGPT, Clau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Define target scenario types, required fields, validation rules, and masking constraints. Use AI to draft representative test data sets, then tester validates realism and coverage before execution."/>
    <n v="4"/>
    <m/>
    <s v="Pilot in Q2 2026"/>
    <m/>
    <x v="2"/>
    <s v="Updated from More Elaboration Needed to Accepted Idea because the row now provides enough business value, AI fit, feasibility, and implementation readiness to move forward under governed review."/>
    <x v="0"/>
  </r>
  <r>
    <n v="100"/>
    <x v="4"/>
    <s v="EPS"/>
    <s v="EPS-QA-01"/>
    <s v="Test Case Generation from User Stories"/>
    <s v="AI derives comprehensive test cases including positive, negative, and boundary scenarios from approved user stories and acceptance criteria."/>
    <d v="2026-02-26T00:00:00"/>
    <s v="Testing"/>
    <s v="Test Automation"/>
    <s v="Test Case Generation"/>
    <n v="6"/>
    <n v="2"/>
    <s v="Speeds up test preparation and improves defect discovery through broader coverage"/>
    <n v="0"/>
    <s v="Provide approved user stories and acceptance criteria; AI generates test cases; QA reviews and enriches before adding to test repository."/>
    <s v="Proven GenAI pattern; story quality directly affects output quality"/>
    <s v="Yousef Milhem"/>
    <s v="Story quality strongly affects output quality; QA review mandatory for domain and integration coverage"/>
    <s v="Yes"/>
    <s v="Planned"/>
    <s v="ChatGPT, Clau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Provide approved user stories and acceptance criteria, generate positive/negative/boundary test cases with AI, then QA reviews and enriches them before adding to the test repository."/>
    <n v="4"/>
    <m/>
    <s v="Pilot in Q2 2026"/>
    <m/>
    <x v="2"/>
    <s v="Updated from More Elaboration Needed to Accepted Idea because the row now provides enough business value, AI fit, feasibility, and implementation readiness to move forward under governed review."/>
    <x v="0"/>
  </r>
  <r>
    <n v="101"/>
    <x v="4"/>
    <s v="EPS"/>
    <s v="EPS-QA-02"/>
    <s v="User Story Enhancement for Tester Readability"/>
    <s v="AI enhances story descriptions and acceptance criteria into tester-readable format with explicit scenarios and assumptions, while preserving intent and traceability."/>
    <d v="2026-02-26T00:00:00"/>
    <s v="Analysis / Testing"/>
    <s v="Requirements Management"/>
    <s v="Requirements Readability"/>
    <n v="3"/>
    <n v="1"/>
    <s v="Improves requirement clarity and reduces tester interpretation errors"/>
    <n v="0"/>
    <s v="Feed original story and acceptance criteria to AI; request tester-oriented reformulation; QA or BA validates against source story."/>
    <s v="Reusable across multiple projects with minimal setup"/>
    <s v="Yousef Milhem"/>
    <s v="Must preserve intent and traceability to original requirement"/>
    <s v="Yes"/>
    <s v="Planned"/>
    <s v="ChatGPT, Clau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Feed the original story and acceptance criteria to AI, ask for tester-oriented reformulation with explicit scenarios and assumptions, then QA or BA validates against the source story before use."/>
    <n v="2"/>
    <m/>
    <s v="Pilot in Q2 2026"/>
    <m/>
    <x v="2"/>
    <s v="Updated from More Elaboration Needed to Accepted Idea because the row now provides enough business value, AI fit, feasibility, and implementation readiness to move forward under governed review."/>
    <x v="0"/>
  </r>
  <r>
    <n v="102"/>
    <x v="4"/>
    <s v="EPS"/>
    <s v="EPS-BA-06"/>
    <s v="AI-Assisted User Guide Drafting"/>
    <s v="AI generates structured user guide content from scripts, process steps, and system descriptions, producing professional documentation drafts for review and refinement."/>
    <d v="2026-02-26T00:00:00"/>
    <s v="Documentation"/>
    <s v="Documentation"/>
    <s v="User Guide Generation"/>
    <n v="6"/>
    <n v="2"/>
    <s v="Reduces documentation effort and improves consistency of user guides"/>
    <n v="0"/>
    <s v="Provide scripts, process steps, screenshots, and approved user-guide template; AI drafts structured content; SME or BA reviews for correctness."/>
    <s v="Best suited for pilot-to-scale adoption with standard templates"/>
    <s v="Yousef Milhem"/>
    <s v="Output quality depends on structured source material and standard template availability"/>
    <s v="Yes"/>
    <s v="Planned"/>
    <s v="Microsoft 365 Copilot, ChatGPT"/>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Provide scripts, process steps, screenshots, and the approved user-guide template. Use AI to draft structured paragraphs and candidate visuals, then SME or BA reviews for correctness and usability."/>
    <n v="4"/>
    <m/>
    <s v="Pilot in Q2 2026"/>
    <m/>
    <x v="2"/>
    <s v="Updated from More Elaboration Needed to Accepted Idea because the row now provides enough business value, AI fit, feasibility, and implementation readiness to move forward under governed review."/>
    <x v="0"/>
  </r>
  <r>
    <n v="103"/>
    <x v="4"/>
    <s v="EPS"/>
    <s v="EPS-DEV-01"/>
    <s v="Issue Resolution and Code Fix Acceleration"/>
    <s v="AI-assisted analysis and resolution of development tickets including SQL execution issues, code performance bottlenecks, and runtime errors. AI suggests root causes and optimized fixes to accelerate ticket closure."/>
    <d v="2026-02-26T00:00:00"/>
    <s v="Development"/>
    <s v="Development Acceleration"/>
    <s v="Issue Resolution"/>
    <n v="4"/>
    <n v="2"/>
    <s v="Accelerates ticket resolution and improves code quality"/>
    <n v="0"/>
    <s v="Capture error context and relevant code; AI suggests root cause and optimized fix; developer validates before applying."/>
    <s v="High value for recurring development support activities"/>
    <s v="Yousef Milhem"/>
    <s v="Requires SPOC validation before scale-up; developer must test all fixes in non-prod"/>
    <s v="Yes"/>
    <s v="Planned"/>
    <s v="GitHub Copilot, Claude Co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n v="2"/>
    <m/>
    <s v="Q2 2026"/>
    <m/>
    <x v="3"/>
    <s v="Updated from blank to Accepted Idea because the row now shows enough problem clarity, AI relevance, business value, and a workable delivery path to govern as an AI use case."/>
    <x v="0"/>
  </r>
  <r>
    <n v="104"/>
    <x v="4"/>
    <s v="EPS"/>
    <s v="EPS-DEV-02"/>
    <s v="Pull Request Drafting and Code Review Assistance"/>
    <s v="AI assists in drafting pull request descriptions, summarizing code changes, and performing preliminary code review to identify potential issues before human review."/>
    <d v="2026-02-26T00:00:00"/>
    <s v="Development"/>
    <s v="Development Acceleration"/>
    <s v="Code Review"/>
    <n v="4"/>
    <n v="2"/>
    <s v="Accelerates code review process and improves PR quality and consistency"/>
    <n v="0"/>
    <s v="Use AI to generate PR description from diff; AI performs preliminary review; lead engineer validates before merge."/>
    <s v="Reusable across all development projects with minimal setup"/>
    <s v="Yousef Milhem"/>
    <s v="Requires prompt template standardization; lead engineer approval mandatory"/>
    <s v="Yes"/>
    <s v="Planned"/>
    <s v="GitHub Copilot, Claude Code"/>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2"/>
    <m/>
    <s v="Q2 2026"/>
    <m/>
    <x v="3"/>
    <s v="Updated from blank to Accepted Idea because the row now shows enough problem clarity, AI relevance, business value, and a workable delivery path to govern as an AI use case."/>
    <x v="0"/>
  </r>
  <r>
    <n v="105"/>
    <x v="4"/>
    <s v="EPS"/>
    <s v="EPS-DEV-04"/>
    <s v="AI-Augmented Development Process Enhancement"/>
    <s v="Leverage AI tools to accelerate development workflows including code scaffolding, API integration research, technical documentation, and internal POC development for emerging technologies."/>
    <d v="2026-02-26T00:00:00"/>
    <s v="Development"/>
    <s v="Development Acceleration"/>
    <s v="Process Optimization"/>
    <n v="6"/>
    <n v="2"/>
    <s v="Accelerates development workflows and reduces effort for routine engineering tasks"/>
    <n v="0"/>
    <s v="Use AI for code scaffolding, API research, and internal POCs; validate outputs through practice leads before delivery."/>
    <s v="Umbrella use case covering development workflow improvements; best suited for project-level pilots"/>
    <s v="Yousef Milhem"/>
    <s v="Incorporates AI in Development POCs concept; requires prompt template standardization"/>
    <s v="Yes"/>
    <s v="Planned"/>
    <s v="GitHub Copilot, Claude Code, ChatGPT"/>
    <s v="Omar Ibrahim"/>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n v="4"/>
    <m/>
    <s v="Q2 2026"/>
    <m/>
    <x v="3"/>
    <s v="Updated from blank to Accepted Idea because the row now shows enough problem clarity, AI relevance, business value, and a workable delivery path to govern as an AI use case."/>
    <x v="0"/>
  </r>
  <r>
    <n v="106"/>
    <x v="4"/>
    <s v="EPCS"/>
    <s v="EPCS-AI-118"/>
    <s v="application development and configuration"/>
    <s v="Alfresco  ECM serach capabilites"/>
    <d v="2025-03-05T00:00:00"/>
    <s v="Development / Support"/>
    <s v="Development Acceleration"/>
    <s v="Code generation"/>
    <m/>
    <m/>
    <s v="Faser to finalize customer CR"/>
    <m/>
    <s v="add and configure HTTP-to-HTTPS proxy to Alfresco Kubernetes cluster to keep Elastisearch secured "/>
    <m/>
    <s v="Ahmed AlSareti"/>
    <m/>
    <m/>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s v="24 working hours"/>
    <m/>
    <s v="Q2 2026"/>
    <m/>
    <x v="3"/>
    <s v="Updated from blank to Accepted Idea because the row now shows enough problem clarity, AI relevance, business value, and a workable delivery path to govern as an AI use case."/>
    <x v="0"/>
  </r>
  <r>
    <n v="107"/>
    <x v="4"/>
    <s v="EPCS"/>
    <s v="EPCS-AI-119"/>
    <s v="application development"/>
    <s v="Alfresco ECM front-end application"/>
    <d v="2025-03-15T00:00:00"/>
    <s v="Development"/>
    <s v="Development Acceleration"/>
    <s v="Code modernization"/>
    <m/>
    <m/>
    <s v="enhance internal web applications development"/>
    <m/>
    <s v="update Alfresco workspace front-end application (Angular) to allow search by metadata"/>
    <m/>
    <s v="Ahmed AlSareti"/>
    <m/>
    <m/>
    <s v="Implemented"/>
    <s v="GitHub Copilot"/>
    <s v="Omar Ibrahim"/>
    <x v="0"/>
    <s v="Accepted – Proven with Adoption Evidence"/>
    <s v="Strong and practical use case with clear AI relevance and evidence of real usage or measurable adoption indicators. Suitable to institutionalize and extend under governed patterns."/>
    <s v="High feasibility. The use case has a clear business problem, a valid AI role, and a workable delivery path if grounded on approved inputs and reviewed by the responsible SME/lead before release."/>
    <s v="1) Pilot on a bounded engineering task in a controlled repository._x000a_2) Enforce human review, unit/integration tests, and security checks on all AI-generated output._x000a_3) Package the winning prompt/context pattern as a reusable accelerator."/>
    <s v="48 working hours"/>
    <m/>
    <s v="Q2 2026"/>
    <m/>
    <x v="3"/>
    <s v="Updated from blank to Accepted Idea because the row now shows enough problem clarity, AI relevance, business value, and a workable delivery path to govern as an AI use case."/>
    <x v="0"/>
  </r>
  <r>
    <n v="108"/>
    <x v="4"/>
    <s v="ERP"/>
    <s v="ERP-AI-005"/>
    <s v="AI-Powered ERP Reporting &amp; Documentation Automation"/>
    <s v="End-to-end AI-assisted workflow for ERP reporting tasks including requirement analysis, SQL development, RTF template generation, TDD creation, and knowledge management to improve productivity and reduce manual effort."/>
    <d v="2026-01-26T00:00:00"/>
    <s v="Design, Development, Testing, Documentation"/>
    <s v="Productivity Enhancement"/>
    <s v="ERP Reporting Automation &amp; Knowledge Management"/>
    <s v="3 Days per task"/>
    <s v="Reduced by 15%–20% (2.4–2.55 Days)"/>
    <s v="Faster delivery, reduced manual effort, fewer SQL errors, improved documentation quality, enhanced knowledge reuse, reduced dependency on individuals"/>
    <s v="Currently Individual Level (Expected to scale to Team Level)"/>
    <s v="Use AI tools (ChatGPT, Claude) across lifecycle: requirement capture, SQL generation, RTF creation, and TDD generation. Maintain structured knowledge repository. Standardize prompts and outputs."/>
    <s v="Transition from task-based AI usage to full lifecycle AI integration. Build long-term AI-powered knowledge repository for scalable productivity gains (target 30%+)."/>
    <s v="Doaa Mostafa"/>
    <s v="This initiative requires management support, along with a consistent documentation effort (approximately 1–2 hours per week). A centralized repository is essential for effective knowledge sharing, in addition to securing a company license for Claude to support AI-driven documentation and collaboration."/>
    <s v="Yes"/>
    <s v="In Progress (Individual Usage Phase)"/>
    <s v="ChatGPT, Claude"/>
    <s v="Doaa Mostafa"/>
    <x v="0"/>
    <s v="Accepted – Ready for Implementation"/>
    <s v="Well-formed use case with clear business value, valid AI role, and enough delivery context to move into controlled implementation with SME review and quality gates."/>
    <s v="High feasibility. The use case has a clear business problem, a valid AI role, and a workable delivery path if grounded on approved inputs and reviewed by the responsible SME/lead before release."/>
    <s v="1) Start with one approved artifact set and a fixed output template._x000a_2) Pilot on a single project/workshop and measure time saved plus review corrections._x000a_3) Promote validated prompt packs and review checklist into the BA knowledge base."/>
    <s v="4.8 to 7.2 hours per task"/>
    <s v="3 Phases (Individual → Team → Organization-wide)"/>
    <s v="Phase 1: 0–6 months_x000a_Phase 2: 12–24 months_x000a_Phase 3: 24+ months"/>
    <s v="Expected Multi-Project Adoption (5+ initially, scalable across ERP projects)"/>
    <x v="3"/>
    <s v="Updated from blank to Accepted Idea because the row now shows enough problem clarity, AI relevance, business value, and a workable delivery path to govern as an AI use case."/>
    <x v="0"/>
  </r>
  <r>
    <n v="109"/>
    <x v="4"/>
    <s v="ERP"/>
    <s v="ERP-AI-006"/>
    <s v="AI-Driven HDL Data Migration Automation"/>
    <s v="AI-powered solution to automate data cleansing, validation, mapping, error prediction, and HDL file generation for Oracle HCM data migration, reducing manual effort and improving upload success rate."/>
    <d v="2026-01-26T00:00:00"/>
    <s v="Data Preparation, Development, Testing, Deployment"/>
    <s v="Productivity Enhancement"/>
    <s v="Data Migration Automation (HCM / HDL)"/>
    <s v="Several Days (depending on data volume)"/>
    <s v="Reduced to Few Hours"/>
    <s v="Faster migration cycles, improved data accuracy, reduced upload failures, minimized rework, lower dependency on multiple consultants, improved project delivery timelines"/>
    <s v="Currently Idea Phase (Planned for Implementation)"/>
    <s v="Use AI tools (ChatGPT, Claude) for data validation, mapping, and HDL generation. Build reusable templates for common objects. Integrate AI checks before HDL upload. Maintain structured validation rules."/>
    <s v="AI can transform data migration from manual iterative process to automated intelligent workflow. Strong potential for reuse across all HCM projects."/>
    <s v="Doaa Mostafa"/>
    <s v="Requires predefined mapping templates, access to clean source data, and validation rules standardization. Dependency on business data quality,in addition to securing a company license for Claude to support AI-driven documentation and collaboration."/>
    <s v="Yes"/>
    <s v="Planned"/>
    <s v="ChatGPT, Claude"/>
    <s v="Doaa Mostafa"/>
    <x v="0"/>
    <s v="Accepted – Ready for Pilot"/>
    <s v="Clear and feasible AI use case with meaningful delivery value. Best advanced through a controlled pilot to validate effort saving, quality improvement, and review effort before broader rollout."/>
    <s v="High feasibility. The use case has a clear business problem, a valid AI role, and a workable delivery path if grounded on approved inputs and reviewed by the responsible SME/lead before release."/>
    <s v="1) Pilot on one application/API scope with approved requirements and expected results._x000a_2) Track coverage improvement, preparation effort, and escaped defects._x000a_3) Reuse validated scenarios/prompts inside the QE repository."/>
    <s v="16 to 24 hours per migration cycle"/>
    <s v="Pilot → Expand → Standardize (3 phases)"/>
    <s v="Phase 1: 0–3 months (Pilot)_x000a_Phase 2: 3–9 months (Expand)_x000a_Phase 3: 9–18 months (Full adoption)"/>
    <s v="High potential (All HCM / Fusion Migration Projects – 10+ projects)"/>
    <x v="3"/>
    <s v="Updated from blank to Accepted Idea because the row now shows enough problem clarity, AI relevance, business value, and a workable delivery path to govern as an AI use cas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BD09C-6016-411F-B656-9795F39E1531}" name="PivotTable2"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s>
  <rowFields count="1">
    <field x="1"/>
  </rowFields>
  <rowItems count="7">
    <i>
      <x/>
    </i>
    <i>
      <x v="1"/>
    </i>
    <i>
      <x v="2"/>
    </i>
    <i>
      <x v="3"/>
    </i>
    <i>
      <x v="4"/>
    </i>
    <i>
      <x v="5"/>
    </i>
    <i t="grand">
      <x/>
    </i>
  </rowItems>
  <colFields count="1">
    <field x="2"/>
  </colFields>
  <colItems count="4">
    <i>
      <x/>
    </i>
    <i>
      <x v="1"/>
    </i>
    <i>
      <x v="2"/>
    </i>
    <i t="grand">
      <x/>
    </i>
  </colItems>
  <dataFields count="1">
    <dataField name="Count of S.No." fld="0" subtotal="count" baseField="0" baseItem="0"/>
  </dataFields>
  <formats count="6">
    <format dxfId="48">
      <pivotArea outline="0" collapsedLevelsAreSubtotals="1" fieldPosition="0"/>
    </format>
    <format dxfId="49">
      <pivotArea field="1" type="button" dataOnly="0" labelOnly="1" outline="0" axis="axisRow" fieldPosition="0"/>
    </format>
    <format dxfId="50">
      <pivotArea dataOnly="0" labelOnly="1" fieldPosition="0">
        <references count="1">
          <reference field="1" count="0"/>
        </references>
      </pivotArea>
    </format>
    <format dxfId="51">
      <pivotArea dataOnly="0" labelOnly="1" grandRow="1" outline="0" fieldPosition="0"/>
    </format>
    <format dxfId="52">
      <pivotArea dataOnly="0" labelOnly="1" fieldPosition="0">
        <references count="1">
          <reference field="2" count="0"/>
        </references>
      </pivotArea>
    </format>
    <format dxfId="53">
      <pivotArea dataOnly="0" labelOnly="1" grandCol="1" outline="0"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Use_Case_Asset_Templat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5FB23-BFCF-4C71-AB72-B7F5181CF04C}" name="PivotTable2" cacheId="3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2" firstHeaderRow="1" firstDataRow="1" firstDataCol="2"/>
  <pivotFields count="3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9">
        <item x="0"/>
        <item x="1"/>
        <item m="1" x="3"/>
        <item m="1" x="5"/>
        <item m="1" x="6"/>
        <item m="1" x="7"/>
        <item x="2"/>
        <item m="1" x="4"/>
        <item t="default"/>
      </items>
    </pivotField>
    <pivotField axis="axisRow" compact="0" outline="0" showAll="0" sortType="ascending">
      <items count="22">
        <item x="7"/>
        <item x="2"/>
        <item x="0"/>
        <item x="1"/>
        <item m="1" x="20"/>
        <item m="1" x="16"/>
        <item m="1" x="15"/>
        <item x="13"/>
        <item x="14"/>
        <item x="11"/>
        <item x="10"/>
        <item x="3"/>
        <item x="5"/>
        <item x="12"/>
        <item m="1" x="19"/>
        <item m="1" x="17"/>
        <item x="4"/>
        <item x="6"/>
        <item x="8"/>
        <item x="9"/>
        <item m="1" x="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2"/>
    <field x="23"/>
  </rowFields>
  <rowItems count="19">
    <i>
      <x/>
      <x/>
    </i>
    <i r="1">
      <x v="1"/>
    </i>
    <i r="1">
      <x v="2"/>
    </i>
    <i r="1">
      <x v="3"/>
    </i>
    <i t="default">
      <x/>
    </i>
    <i>
      <x v="1"/>
      <x v="7"/>
    </i>
    <i r="1">
      <x v="8"/>
    </i>
    <i r="1">
      <x v="9"/>
    </i>
    <i r="1">
      <x v="10"/>
    </i>
    <i r="1">
      <x v="11"/>
    </i>
    <i r="1">
      <x v="12"/>
    </i>
    <i r="1">
      <x v="13"/>
    </i>
    <i t="default">
      <x v="1"/>
    </i>
    <i>
      <x v="6"/>
      <x v="16"/>
    </i>
    <i r="1">
      <x v="17"/>
    </i>
    <i r="1">
      <x v="18"/>
    </i>
    <i r="1">
      <x v="19"/>
    </i>
    <i t="default">
      <x v="6"/>
    </i>
    <i t="grand">
      <x/>
    </i>
  </rowItems>
  <colItems count="1">
    <i/>
  </colItems>
  <dataFields count="1">
    <dataField name="Count of Validation Feedback"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8DE67-F50E-4C0C-A0B3-542E26DBD867}" name="PivotTable1" cacheId="3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7" firstHeaderRow="0" firstDataRow="1" firstDataCol="2"/>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6">
        <item x="0"/>
        <item m="1" x="4"/>
        <item x="1"/>
        <item x="2"/>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0"/>
        <item m="1" x="2"/>
        <item m="1" x="1"/>
        <item t="default"/>
      </items>
    </pivotField>
  </pivotFields>
  <rowFields count="2">
    <field x="33"/>
    <field x="22"/>
  </rowFields>
  <rowItems count="5">
    <i>
      <x/>
      <x/>
    </i>
    <i r="1">
      <x v="2"/>
    </i>
    <i r="1">
      <x v="3"/>
    </i>
    <i t="default">
      <x/>
    </i>
    <i t="grand">
      <x/>
    </i>
  </rowItems>
  <colFields count="1">
    <field x="-2"/>
  </colFields>
  <colItems count="2">
    <i>
      <x/>
    </i>
    <i i="1">
      <x v="1"/>
    </i>
  </colItems>
  <dataFields count="2">
    <dataField name="Count of Validation Feedback" fld="22" subtotal="count" baseField="0" baseItem="0"/>
    <dataField name="Count of old Validation Feedback"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12AD8-705D-4625-9184-B6BC2F130209}" name="PivotTable3" cacheId="3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7"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m="1" x="4"/>
        <item x="1"/>
        <item x="2"/>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5">
        <item x="0"/>
        <item x="3"/>
        <item x="2"/>
        <item x="1"/>
        <item t="default"/>
      </items>
    </pivotField>
    <pivotField compact="0" outline="0" showAll="0"/>
    <pivotField compact="0" outline="0" showAll="0">
      <items count="4">
        <item x="0"/>
        <item m="1" x="2"/>
        <item m="1" x="1"/>
        <item t="default"/>
      </items>
    </pivotField>
  </pivotFields>
  <rowFields count="1">
    <field x="31"/>
  </rowFields>
  <rowItems count="5">
    <i>
      <x/>
    </i>
    <i>
      <x v="1"/>
    </i>
    <i>
      <x v="2"/>
    </i>
    <i>
      <x v="3"/>
    </i>
    <i t="grand">
      <x/>
    </i>
  </rowItems>
  <colItems count="1">
    <i/>
  </colItems>
  <dataFields count="1">
    <dataField name="Count of old Validation Feedback"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E15AC5-3031-4C2A-A3CC-DBE22E0B9893}" name="Table1" displayName="Table1" ref="A1:AE110" totalsRowShown="0" headerRowDxfId="32" dataDxfId="31">
  <autoFilter ref="A1:AE110" xr:uid="{5BE15AC5-3031-4C2A-A3CC-DBE22E0B9893}"/>
  <tableColumns count="31">
    <tableColumn id="1" xr3:uid="{B30C97AA-16F1-418D-BEAB-06B64EDFB706}" name="S.No." dataDxfId="30">
      <calculatedColumnFormula>ROW() - ROW(Table1[[#Headers],[S.No.]])</calculatedColumnFormula>
    </tableColumn>
    <tableColumn id="16" xr3:uid="{5213BAD9-0E27-4685-8CDC-7F0C55F665D5}" name="Department" dataDxfId="29"/>
    <tableColumn id="21" xr3:uid="{91411340-8176-42BC-B5BC-10AFF7A7A8FB}" name="Unit" dataDxfId="28"/>
    <tableColumn id="2" xr3:uid="{178D1280-845D-4D7D-BDB4-43510B2D7442}" name="Use Case Asset ID" dataDxfId="27"/>
    <tableColumn id="3" xr3:uid="{1832DA94-6418-48BC-9A15-A23EE230CD23}" name="Asset Name" dataDxfId="26"/>
    <tableColumn id="7" xr3:uid="{70BD701E-06D7-462A-A9F8-0F64FE157624}" name="Asset description" dataDxfId="25"/>
    <tableColumn id="4" xr3:uid="{241046E8-6E45-49E3-A496-03262BEE0827}" name="Asset Identification date" dataDxfId="24"/>
    <tableColumn id="6" xr3:uid="{E0B7C9DB-3B70-4C0F-8C8F-892EBC0B7120}" name="SDLC Phase" dataDxfId="23"/>
    <tableColumn id="5" xr3:uid="{ABD80468-6E60-4EFA-A00A-46956FE562C1}" name="Asset Category" dataDxfId="22"/>
    <tableColumn id="8" xr3:uid="{3BC1CC6D-00E6-40AE-BE40-96CE4F641E78}" name="Asset Subcategory" dataDxfId="21"/>
    <tableColumn id="9" xr3:uid="{C0D5B293-EEEE-4A68-A065-3959A3AF82F0}" name="Efforts with out AI " dataDxfId="20"/>
    <tableColumn id="10" xr3:uid="{807AF035-AE7C-417D-9785-ED655C012EAC}" name="Efforts with AI" dataDxfId="19"/>
    <tableColumn id="11" xr3:uid="{9463CBCD-8049-46A6-944C-C3D04C6A268E}" name="Business Benefits / Impact" dataDxfId="18"/>
    <tableColumn id="12" xr3:uid="{D3077EB8-3A36-448F-8CA4-3B3DC6B40EB9}" name="No. of Adoptions" dataDxfId="17"/>
    <tableColumn id="13" xr3:uid="{16015CFC-6916-4234-AA16-C8F60BBC1290}" name="Implementation Guidelines" dataDxfId="16"/>
    <tableColumn id="14" xr3:uid="{96BE0C0D-9F8A-45D7-A76D-FCA7577A85F9}" name="Strategic Takeaways" dataDxfId="15"/>
    <tableColumn id="17" xr3:uid="{3C8D7FBD-5A22-4CD3-8A1C-6149A2FA97A8}" name="Owners / SPOC" dataDxfId="14"/>
    <tableColumn id="15" xr3:uid="{198A676B-DEB7-4E71-BD81-D5D1D2C161E5}" name="Remarks / Additonal Comments / Support needed / Dependancy" dataDxfId="13"/>
    <tableColumn id="18" xr3:uid="{F512A5FF-65A2-47EF-AB95-BD88C7695B40}" name="Selected Use Case" dataDxfId="12"/>
    <tableColumn id="19" xr3:uid="{FF0901F3-771A-4C2C-82DB-5619EF4F5D11}" name="Current Status" dataDxfId="11"/>
    <tableColumn id="20" xr3:uid="{087356D6-5B60-4D87-AF69-B01554FB87A4}" name="Tools / Platform Used" dataDxfId="10"/>
    <tableColumn id="22" xr3:uid="{1329E807-5F14-4643-987D-AA3F17F85FB0}" name="Department SPOC" dataDxfId="9"/>
    <tableColumn id="23" xr3:uid="{A14B59F7-CDD1-43D7-BC56-0C0F3D470B0D}" name="Validation Feedback" dataDxfId="8"/>
    <tableColumn id="25" xr3:uid="{78213796-D0AD-46E2-83C7-7BF2AED7714D}" name="Validation Detail" dataDxfId="7"/>
    <tableColumn id="24" xr3:uid="{D83FC293-7CE9-4AB5-A26E-5267A3C4BAC5}" name="Validation Notes" dataDxfId="6"/>
    <tableColumn id="26" xr3:uid="{06DA9F01-38F4-4558-9461-9F5CB546360F}" name="Reality / Doability" dataDxfId="5"/>
    <tableColumn id="27" xr3:uid="{F660768E-696C-492A-A518-69931A50C90F}" name="Suggestion for How to apply" dataDxfId="4"/>
    <tableColumn id="28" xr3:uid="{5AB05EBB-40D0-455F-BDCF-50BD2CE79720}" name="No. of Hours Saved with each Implementation *" dataDxfId="3"/>
    <tableColumn id="29" xr3:uid="{25D932BC-F116-4BB7-92EA-2A71E75EEE83}" name="No. of Planned Implementaiton" dataDxfId="2"/>
    <tableColumn id="30" xr3:uid="{2A0D7608-241D-438C-A271-70EE50A8CE3F}" name="Timelines for Planned Implementaiton *" dataDxfId="1"/>
    <tableColumn id="31" xr3:uid="{EF218489-3DFD-44EC-B6F5-AC33877F5386}" name="No. of Projects who will use "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537F-75C4-4E17-A999-6F0FEB247427}">
  <dimension ref="A1:H28"/>
  <sheetViews>
    <sheetView workbookViewId="0">
      <selection activeCell="D1" sqref="D1:D3"/>
    </sheetView>
  </sheetViews>
  <sheetFormatPr defaultRowHeight="15"/>
  <cols>
    <col min="3" max="3" width="19.42578125" customWidth="1"/>
    <col min="4" max="4" width="27.5703125" customWidth="1"/>
    <col min="6" max="6" width="76.5703125" bestFit="1" customWidth="1"/>
    <col min="8" max="8" width="16.42578125" customWidth="1"/>
  </cols>
  <sheetData>
    <row r="1" spans="1:8">
      <c r="A1" s="6" t="s">
        <v>0</v>
      </c>
      <c r="B1" s="6"/>
      <c r="C1" s="6" t="s">
        <v>1</v>
      </c>
      <c r="D1" s="6" t="s">
        <v>2</v>
      </c>
      <c r="F1" s="124" t="s">
        <v>3</v>
      </c>
      <c r="H1" t="s">
        <v>4</v>
      </c>
    </row>
    <row r="2" spans="1:8">
      <c r="A2" s="6" t="s">
        <v>5</v>
      </c>
      <c r="B2" s="6"/>
      <c r="C2" s="6" t="s">
        <v>6</v>
      </c>
      <c r="D2" s="6" t="s">
        <v>7</v>
      </c>
      <c r="F2" s="124" t="s">
        <v>8</v>
      </c>
      <c r="H2" t="s">
        <v>9</v>
      </c>
    </row>
    <row r="3" spans="1:8">
      <c r="A3" s="6"/>
      <c r="B3" s="6"/>
      <c r="C3" s="6" t="s">
        <v>10</v>
      </c>
      <c r="D3" s="6" t="s">
        <v>11</v>
      </c>
      <c r="F3" s="124" t="s">
        <v>12</v>
      </c>
    </row>
    <row r="4" spans="1:8">
      <c r="F4" s="124" t="s">
        <v>13</v>
      </c>
    </row>
    <row r="5" spans="1:8">
      <c r="F5" s="124" t="s">
        <v>14</v>
      </c>
    </row>
    <row r="6" spans="1:8">
      <c r="F6" s="124" t="s">
        <v>15</v>
      </c>
    </row>
    <row r="7" spans="1:8">
      <c r="F7" s="125" t="s">
        <v>16</v>
      </c>
    </row>
    <row r="8" spans="1:8">
      <c r="F8" s="124" t="s">
        <v>17</v>
      </c>
    </row>
    <row r="9" spans="1:8">
      <c r="F9" s="124" t="s">
        <v>18</v>
      </c>
    </row>
    <row r="10" spans="1:8">
      <c r="F10" s="124" t="s">
        <v>19</v>
      </c>
    </row>
    <row r="11" spans="1:8">
      <c r="F11" s="124" t="s">
        <v>20</v>
      </c>
    </row>
    <row r="12" spans="1:8">
      <c r="F12" s="124" t="s">
        <v>21</v>
      </c>
    </row>
    <row r="13" spans="1:8">
      <c r="F13" s="124" t="s">
        <v>22</v>
      </c>
    </row>
    <row r="14" spans="1:8">
      <c r="F14" s="124" t="s">
        <v>23</v>
      </c>
    </row>
    <row r="15" spans="1:8">
      <c r="F15" s="124" t="s">
        <v>24</v>
      </c>
    </row>
    <row r="16" spans="1:8">
      <c r="F16" s="124" t="s">
        <v>25</v>
      </c>
    </row>
    <row r="17" spans="6:6">
      <c r="F17" s="125" t="s">
        <v>26</v>
      </c>
    </row>
    <row r="18" spans="6:6">
      <c r="F18" s="125" t="s">
        <v>27</v>
      </c>
    </row>
    <row r="19" spans="6:6">
      <c r="F19" s="124" t="s">
        <v>28</v>
      </c>
    </row>
    <row r="20" spans="6:6">
      <c r="F20" s="124" t="s">
        <v>29</v>
      </c>
    </row>
    <row r="21" spans="6:6">
      <c r="F21" s="125" t="s">
        <v>30</v>
      </c>
    </row>
    <row r="22" spans="6:6">
      <c r="F22" s="124" t="s">
        <v>31</v>
      </c>
    </row>
    <row r="23" spans="6:6">
      <c r="F23" s="124" t="s">
        <v>32</v>
      </c>
    </row>
    <row r="24" spans="6:6">
      <c r="F24" s="124" t="s">
        <v>33</v>
      </c>
    </row>
    <row r="25" spans="6:6">
      <c r="F25" s="124" t="s">
        <v>34</v>
      </c>
    </row>
    <row r="26" spans="6:6">
      <c r="F26" s="124" t="s">
        <v>35</v>
      </c>
    </row>
    <row r="27" spans="6:6">
      <c r="F27" s="124" t="s">
        <v>36</v>
      </c>
    </row>
    <row r="28" spans="6:6">
      <c r="F28" s="124" t="s">
        <v>37</v>
      </c>
    </row>
  </sheetData>
  <dataValidations count="1">
    <dataValidation type="list" allowBlank="1" showInputMessage="1" showErrorMessage="1" sqref="D1:D3" xr:uid="{CABA0ECA-1A29-4824-B2CC-D1125684CA90}">
      <formula1>$F$1:$F$25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D16B-0F50-4DF4-8566-C16928FF4D00}">
  <dimension ref="A3:E11"/>
  <sheetViews>
    <sheetView workbookViewId="0">
      <selection activeCell="C7" sqref="C7"/>
    </sheetView>
  </sheetViews>
  <sheetFormatPr defaultRowHeight="15"/>
  <cols>
    <col min="1" max="1" width="19.28515625" bestFit="1" customWidth="1"/>
    <col min="2" max="2" width="17.28515625" bestFit="1" customWidth="1"/>
    <col min="3" max="3" width="24.7109375" bestFit="1" customWidth="1"/>
    <col min="4" max="4" width="17.85546875" bestFit="1" customWidth="1"/>
    <col min="5" max="6" width="11.7109375" bestFit="1" customWidth="1"/>
    <col min="7" max="7" width="59.5703125" bestFit="1" customWidth="1"/>
    <col min="8" max="8" width="11.7109375" bestFit="1" customWidth="1"/>
  </cols>
  <sheetData>
    <row r="3" spans="1:5">
      <c r="A3" s="4" t="s">
        <v>38</v>
      </c>
      <c r="B3" s="4" t="s">
        <v>39</v>
      </c>
    </row>
    <row r="4" spans="1:5">
      <c r="A4" s="8" t="s">
        <v>40</v>
      </c>
      <c r="B4" s="9" t="s">
        <v>2</v>
      </c>
      <c r="C4" s="9" t="s">
        <v>7</v>
      </c>
      <c r="D4" s="9" t="s">
        <v>41</v>
      </c>
      <c r="E4" s="9" t="s">
        <v>42</v>
      </c>
    </row>
    <row r="5" spans="1:5">
      <c r="A5" s="10" t="s">
        <v>43</v>
      </c>
      <c r="B5" s="9">
        <v>2</v>
      </c>
      <c r="C5" s="9"/>
      <c r="D5" s="9">
        <v>1</v>
      </c>
      <c r="E5" s="9">
        <v>3</v>
      </c>
    </row>
    <row r="6" spans="1:5">
      <c r="A6" s="10" t="s">
        <v>44</v>
      </c>
      <c r="B6" s="9">
        <v>19</v>
      </c>
      <c r="C6" s="9">
        <v>3</v>
      </c>
      <c r="D6" s="9"/>
      <c r="E6" s="9">
        <v>22</v>
      </c>
    </row>
    <row r="7" spans="1:5">
      <c r="A7" s="10" t="s">
        <v>45</v>
      </c>
      <c r="B7" s="9">
        <v>14</v>
      </c>
      <c r="C7" s="9">
        <v>2</v>
      </c>
      <c r="D7" s="9">
        <v>1</v>
      </c>
      <c r="E7" s="9">
        <v>17</v>
      </c>
    </row>
    <row r="8" spans="1:5">
      <c r="A8" s="10" t="s">
        <v>46</v>
      </c>
      <c r="B8" s="9">
        <v>4</v>
      </c>
      <c r="C8" s="9"/>
      <c r="D8" s="9"/>
      <c r="E8" s="9">
        <v>4</v>
      </c>
    </row>
    <row r="9" spans="1:5">
      <c r="A9" s="10" t="s">
        <v>47</v>
      </c>
      <c r="B9" s="9">
        <v>17</v>
      </c>
      <c r="C9" s="9"/>
      <c r="D9" s="9">
        <v>6</v>
      </c>
      <c r="E9" s="9">
        <v>23</v>
      </c>
    </row>
    <row r="10" spans="1:5">
      <c r="A10" s="10" t="s">
        <v>48</v>
      </c>
      <c r="B10" s="9">
        <v>32</v>
      </c>
      <c r="C10" s="9">
        <v>8</v>
      </c>
      <c r="D10" s="9"/>
      <c r="E10" s="9">
        <v>40</v>
      </c>
    </row>
    <row r="11" spans="1:5">
      <c r="A11" s="10" t="s">
        <v>42</v>
      </c>
      <c r="B11" s="9">
        <v>88</v>
      </c>
      <c r="C11" s="9">
        <v>13</v>
      </c>
      <c r="D11" s="9">
        <v>8</v>
      </c>
      <c r="E11" s="9">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BFBE-02A2-4AA2-B655-D264B804D660}">
  <dimension ref="A3:C22"/>
  <sheetViews>
    <sheetView topLeftCell="A6" workbookViewId="0">
      <selection activeCell="B6" sqref="B6"/>
    </sheetView>
  </sheetViews>
  <sheetFormatPr defaultRowHeight="15"/>
  <cols>
    <col min="1" max="1" width="27.85546875" bestFit="1" customWidth="1"/>
    <col min="2" max="2" width="72.5703125" bestFit="1" customWidth="1"/>
    <col min="3" max="3" width="27.85546875" bestFit="1" customWidth="1"/>
    <col min="4" max="4" width="25" bestFit="1" customWidth="1"/>
    <col min="5" max="5" width="25.42578125" bestFit="1" customWidth="1"/>
    <col min="6" max="6" width="49" bestFit="1" customWidth="1"/>
    <col min="7" max="7" width="46.85546875" bestFit="1" customWidth="1"/>
    <col min="8" max="8" width="43" bestFit="1" customWidth="1"/>
    <col min="9" max="9" width="52.28515625" bestFit="1" customWidth="1"/>
    <col min="10" max="10" width="40.140625" bestFit="1" customWidth="1"/>
    <col min="11" max="11" width="45" bestFit="1" customWidth="1"/>
    <col min="12" max="12" width="50.28515625" bestFit="1" customWidth="1"/>
    <col min="13" max="13" width="26.28515625" bestFit="1" customWidth="1"/>
    <col min="14" max="14" width="42" bestFit="1" customWidth="1"/>
    <col min="15" max="15" width="37.28515625" bestFit="1" customWidth="1"/>
    <col min="16" max="16" width="7.42578125" bestFit="1" customWidth="1"/>
    <col min="17" max="17" width="11.7109375" bestFit="1" customWidth="1"/>
    <col min="18" max="18" width="9.28515625" bestFit="1" customWidth="1"/>
    <col min="19" max="19" width="12.42578125" bestFit="1" customWidth="1"/>
    <col min="20" max="20" width="42" bestFit="1" customWidth="1"/>
    <col min="21" max="21" width="37.28515625" bestFit="1" customWidth="1"/>
    <col min="22" max="22" width="23" bestFit="1" customWidth="1"/>
    <col min="23" max="23" width="11.7109375" bestFit="1" customWidth="1"/>
  </cols>
  <sheetData>
    <row r="3" spans="1:3">
      <c r="A3" s="4" t="s">
        <v>49</v>
      </c>
      <c r="B3" s="4" t="s">
        <v>50</v>
      </c>
      <c r="C3" t="s">
        <v>51</v>
      </c>
    </row>
    <row r="4" spans="1:3">
      <c r="A4" t="s">
        <v>2</v>
      </c>
      <c r="B4" t="s">
        <v>14</v>
      </c>
      <c r="C4">
        <v>11</v>
      </c>
    </row>
    <row r="5" spans="1:3">
      <c r="B5" t="s">
        <v>8</v>
      </c>
      <c r="C5">
        <v>5</v>
      </c>
    </row>
    <row r="6" spans="1:3">
      <c r="B6" t="s">
        <v>3</v>
      </c>
      <c r="C6">
        <v>59</v>
      </c>
    </row>
    <row r="7" spans="1:3">
      <c r="B7" t="s">
        <v>12</v>
      </c>
      <c r="C7">
        <v>13</v>
      </c>
    </row>
    <row r="8" spans="1:3">
      <c r="A8" t="s">
        <v>52</v>
      </c>
      <c r="C8">
        <v>88</v>
      </c>
    </row>
    <row r="9" spans="1:3">
      <c r="A9" t="s">
        <v>7</v>
      </c>
      <c r="B9" t="s">
        <v>17</v>
      </c>
      <c r="C9">
        <v>1</v>
      </c>
    </row>
    <row r="10" spans="1:3">
      <c r="B10" t="s">
        <v>19</v>
      </c>
      <c r="C10">
        <v>3</v>
      </c>
    </row>
    <row r="11" spans="1:3">
      <c r="B11" t="s">
        <v>16</v>
      </c>
      <c r="C11">
        <v>4</v>
      </c>
    </row>
    <row r="12" spans="1:3">
      <c r="B12" t="s">
        <v>18</v>
      </c>
      <c r="C12">
        <v>2</v>
      </c>
    </row>
    <row r="13" spans="1:3">
      <c r="B13" t="s">
        <v>26</v>
      </c>
      <c r="C13">
        <v>1</v>
      </c>
    </row>
    <row r="14" spans="1:3">
      <c r="B14" t="s">
        <v>27</v>
      </c>
      <c r="C14">
        <v>1</v>
      </c>
    </row>
    <row r="15" spans="1:3">
      <c r="B15" t="s">
        <v>25</v>
      </c>
      <c r="C15">
        <v>1</v>
      </c>
    </row>
    <row r="16" spans="1:3">
      <c r="A16" t="s">
        <v>53</v>
      </c>
      <c r="C16">
        <v>13</v>
      </c>
    </row>
    <row r="17" spans="1:3">
      <c r="A17" t="s">
        <v>41</v>
      </c>
      <c r="B17" t="s">
        <v>30</v>
      </c>
      <c r="C17">
        <v>1</v>
      </c>
    </row>
    <row r="18" spans="1:3">
      <c r="B18" t="s">
        <v>29</v>
      </c>
      <c r="C18">
        <v>5</v>
      </c>
    </row>
    <row r="19" spans="1:3">
      <c r="B19" t="s">
        <v>32</v>
      </c>
      <c r="C19">
        <v>1</v>
      </c>
    </row>
    <row r="20" spans="1:3">
      <c r="B20" t="s">
        <v>31</v>
      </c>
      <c r="C20">
        <v>1</v>
      </c>
    </row>
    <row r="21" spans="1:3">
      <c r="A21" t="s">
        <v>54</v>
      </c>
      <c r="C21">
        <v>8</v>
      </c>
    </row>
    <row r="22" spans="1:3">
      <c r="A22" t="s">
        <v>42</v>
      </c>
      <c r="C22">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11"/>
  <sheetViews>
    <sheetView tabSelected="1" zoomScale="85" zoomScaleNormal="85" workbookViewId="0">
      <pane ySplit="1" topLeftCell="A8" activePane="bottomLeft" state="frozen"/>
      <selection pane="bottomLeft" activeCell="AI1" sqref="AI1:AI1048576"/>
      <selection activeCell="D1" sqref="D1"/>
    </sheetView>
  </sheetViews>
  <sheetFormatPr defaultColWidth="9.42578125" defaultRowHeight="14.45" customHeight="1"/>
  <cols>
    <col min="1" max="1" width="19.85546875" style="3" bestFit="1" customWidth="1"/>
    <col min="2" max="2" width="19.85546875" style="1" bestFit="1" customWidth="1"/>
    <col min="3" max="3" width="14.7109375" style="1" customWidth="1"/>
    <col min="4" max="4" width="16.5703125" style="1" customWidth="1"/>
    <col min="5" max="5" width="43.42578125" style="1" customWidth="1"/>
    <col min="6" max="6" width="65.140625" style="2" customWidth="1"/>
    <col min="7" max="7" width="21.140625" style="1" bestFit="1" customWidth="1"/>
    <col min="8" max="8" width="35.5703125" style="1" bestFit="1" customWidth="1"/>
    <col min="9" max="9" width="25" style="1" customWidth="1"/>
    <col min="10" max="10" width="25.42578125" style="1" customWidth="1"/>
    <col min="11" max="12" width="27.85546875" style="1" customWidth="1"/>
    <col min="13" max="13" width="56" style="1" customWidth="1"/>
    <col min="14" max="14" width="31.42578125" style="1" customWidth="1"/>
    <col min="15" max="15" width="60.85546875" style="1" customWidth="1"/>
    <col min="16" max="16" width="37.42578125" style="1" customWidth="1"/>
    <col min="17" max="17" width="23.42578125" style="1" customWidth="1"/>
    <col min="18" max="18" width="33.42578125" style="1" customWidth="1"/>
    <col min="19" max="19" width="17.5703125" style="1" customWidth="1"/>
    <col min="20" max="20" width="22.42578125" style="1" customWidth="1"/>
    <col min="21" max="21" width="38.42578125" style="1" customWidth="1"/>
    <col min="22" max="22" width="21.42578125" style="1" bestFit="1" customWidth="1"/>
    <col min="23" max="23" width="26.42578125" style="3" customWidth="1"/>
    <col min="24" max="24" width="28.28515625" style="3" customWidth="1"/>
    <col min="25" max="25" width="50.85546875" style="3" customWidth="1"/>
    <col min="26" max="26" width="65.42578125" style="1" customWidth="1"/>
    <col min="27" max="27" width="73.5703125" style="1" customWidth="1"/>
    <col min="28" max="28" width="35" style="1" customWidth="1"/>
    <col min="29" max="29" width="17.5703125" style="1" customWidth="1"/>
    <col min="30" max="30" width="52.28515625" style="1" customWidth="1"/>
    <col min="31" max="31" width="16.140625" style="1" customWidth="1"/>
    <col min="32" max="32" width="27.85546875" style="1" customWidth="1"/>
    <col min="33" max="33" width="55.85546875" style="1" customWidth="1"/>
    <col min="34" max="34" width="21.28515625" style="1" customWidth="1"/>
    <col min="35" max="35" width="31.42578125" style="1" customWidth="1"/>
    <col min="36" max="16384" width="9.42578125" style="1"/>
  </cols>
  <sheetData>
    <row r="1" spans="1:36" ht="29.25">
      <c r="A1" s="88" t="s">
        <v>55</v>
      </c>
      <c r="B1" s="104" t="s">
        <v>56</v>
      </c>
      <c r="C1" s="104" t="s">
        <v>57</v>
      </c>
      <c r="D1" s="19" t="s">
        <v>58</v>
      </c>
      <c r="E1" s="104" t="s">
        <v>59</v>
      </c>
      <c r="F1" s="104" t="s">
        <v>60</v>
      </c>
      <c r="G1" s="19" t="s">
        <v>61</v>
      </c>
      <c r="H1" s="104" t="s">
        <v>62</v>
      </c>
      <c r="I1" s="104" t="s">
        <v>63</v>
      </c>
      <c r="J1" s="19" t="s">
        <v>64</v>
      </c>
      <c r="K1" s="19" t="s">
        <v>65</v>
      </c>
      <c r="L1" s="19" t="s">
        <v>66</v>
      </c>
      <c r="M1" s="105" t="s">
        <v>67</v>
      </c>
      <c r="N1" s="19" t="s">
        <v>68</v>
      </c>
      <c r="O1" s="19" t="s">
        <v>69</v>
      </c>
      <c r="P1" s="19" t="s">
        <v>70</v>
      </c>
      <c r="Q1" s="19" t="s">
        <v>71</v>
      </c>
      <c r="R1" s="104" t="s">
        <v>72</v>
      </c>
      <c r="S1" s="106" t="s">
        <v>73</v>
      </c>
      <c r="T1" s="106" t="s">
        <v>74</v>
      </c>
      <c r="U1" s="106" t="s">
        <v>75</v>
      </c>
      <c r="V1" s="19" t="s">
        <v>76</v>
      </c>
      <c r="W1" s="107" t="s">
        <v>49</v>
      </c>
      <c r="X1" s="107" t="s">
        <v>50</v>
      </c>
      <c r="Y1" s="107" t="s">
        <v>77</v>
      </c>
      <c r="Z1" s="108" t="s">
        <v>78</v>
      </c>
      <c r="AA1" s="108" t="s">
        <v>79</v>
      </c>
      <c r="AB1" s="109" t="s">
        <v>80</v>
      </c>
      <c r="AC1" s="109" t="s">
        <v>81</v>
      </c>
      <c r="AD1" s="109" t="s">
        <v>82</v>
      </c>
      <c r="AE1" s="109" t="s">
        <v>83</v>
      </c>
      <c r="AF1" s="110" t="s">
        <v>84</v>
      </c>
      <c r="AG1" s="110" t="s">
        <v>85</v>
      </c>
      <c r="AH1" s="119" t="s">
        <v>86</v>
      </c>
      <c r="AI1" s="1" t="s">
        <v>87</v>
      </c>
    </row>
    <row r="2" spans="1:36" ht="409.6">
      <c r="A2" s="12">
        <f>ROW() - ROW(Table1[[#Headers],[S.No.]])</f>
        <v>1</v>
      </c>
      <c r="B2" s="13" t="s">
        <v>44</v>
      </c>
      <c r="C2" s="14"/>
      <c r="D2" s="13" t="s">
        <v>88</v>
      </c>
      <c r="E2" s="13" t="s">
        <v>89</v>
      </c>
      <c r="F2" s="14" t="s">
        <v>90</v>
      </c>
      <c r="G2" s="13" t="s">
        <v>91</v>
      </c>
      <c r="H2" s="13" t="s">
        <v>92</v>
      </c>
      <c r="I2" s="13" t="s">
        <v>93</v>
      </c>
      <c r="J2" s="14" t="s">
        <v>94</v>
      </c>
      <c r="K2" s="14"/>
      <c r="L2" s="14"/>
      <c r="M2" s="15" t="s">
        <v>95</v>
      </c>
      <c r="N2" s="14" t="s">
        <v>96</v>
      </c>
      <c r="O2" s="14" t="s">
        <v>97</v>
      </c>
      <c r="P2" s="14"/>
      <c r="Q2" s="16" t="s">
        <v>98</v>
      </c>
      <c r="R2" s="17" t="s">
        <v>99</v>
      </c>
      <c r="S2" s="18" t="s">
        <v>0</v>
      </c>
      <c r="T2" s="18" t="s">
        <v>10</v>
      </c>
      <c r="U2" s="17" t="s">
        <v>100</v>
      </c>
      <c r="V2" s="19" t="s">
        <v>101</v>
      </c>
      <c r="W2" s="96" t="s">
        <v>2</v>
      </c>
      <c r="X2" s="96" t="s">
        <v>3</v>
      </c>
      <c r="Y2" s="75" t="s">
        <v>102</v>
      </c>
      <c r="Z2" s="75" t="s">
        <v>103</v>
      </c>
      <c r="AA2" s="75" t="s">
        <v>104</v>
      </c>
      <c r="AB2" s="147" t="s">
        <v>105</v>
      </c>
      <c r="AC2" s="147"/>
      <c r="AD2" s="147" t="s">
        <v>106</v>
      </c>
      <c r="AE2" s="22"/>
      <c r="AF2" s="121" t="s">
        <v>2</v>
      </c>
      <c r="AG2" s="121" t="s">
        <v>3</v>
      </c>
      <c r="AH2" s="103" t="s">
        <v>107</v>
      </c>
      <c r="AI2" s="1">
        <f>Table1[[#This Row],[Efforts with out AI ]]-Table1[[#This Row],[Efforts with AI]]</f>
        <v>0</v>
      </c>
      <c r="AJ2" s="2"/>
    </row>
    <row r="3" spans="1:36" ht="409.6">
      <c r="A3" s="12">
        <f>ROW() - ROW(Table1[[#Headers],[S.No.]])</f>
        <v>2</v>
      </c>
      <c r="B3" s="13" t="s">
        <v>44</v>
      </c>
      <c r="C3" s="14"/>
      <c r="D3" s="13" t="s">
        <v>108</v>
      </c>
      <c r="E3" s="13" t="s">
        <v>109</v>
      </c>
      <c r="F3" s="14" t="s">
        <v>110</v>
      </c>
      <c r="G3" s="13" t="s">
        <v>111</v>
      </c>
      <c r="H3" s="13" t="s">
        <v>112</v>
      </c>
      <c r="I3" s="13" t="s">
        <v>112</v>
      </c>
      <c r="J3" s="14" t="s">
        <v>113</v>
      </c>
      <c r="K3" s="14"/>
      <c r="L3" s="14"/>
      <c r="M3" s="23" t="s">
        <v>114</v>
      </c>
      <c r="N3" s="14"/>
      <c r="O3" s="14" t="s">
        <v>115</v>
      </c>
      <c r="P3" s="14"/>
      <c r="Q3" s="14" t="s">
        <v>116</v>
      </c>
      <c r="R3" s="24" t="s">
        <v>117</v>
      </c>
      <c r="S3" s="25" t="s">
        <v>118</v>
      </c>
      <c r="T3" s="23" t="s">
        <v>10</v>
      </c>
      <c r="U3" s="26" t="s">
        <v>119</v>
      </c>
      <c r="V3" s="19" t="s">
        <v>101</v>
      </c>
      <c r="W3" s="96" t="s">
        <v>2</v>
      </c>
      <c r="X3" s="96" t="s">
        <v>3</v>
      </c>
      <c r="Y3" s="59" t="s">
        <v>120</v>
      </c>
      <c r="Z3" s="59" t="s">
        <v>121</v>
      </c>
      <c r="AA3" s="59" t="s">
        <v>122</v>
      </c>
      <c r="AB3" s="148" t="s">
        <v>123</v>
      </c>
      <c r="AC3" s="148"/>
      <c r="AD3" s="148" t="s">
        <v>124</v>
      </c>
      <c r="AE3" s="22"/>
      <c r="AF3" s="121" t="s">
        <v>2</v>
      </c>
      <c r="AG3" s="121" t="s">
        <v>3</v>
      </c>
      <c r="AH3" s="103" t="s">
        <v>107</v>
      </c>
      <c r="AI3" s="1">
        <f>Table1[[#This Row],[Efforts with out AI ]]-Table1[[#This Row],[Efforts with AI]]</f>
        <v>0</v>
      </c>
      <c r="AJ3" s="2"/>
    </row>
    <row r="4" spans="1:36" ht="260.25">
      <c r="A4" s="27">
        <f>ROW() - ROW(Table1[[#Headers],[S.No.]])</f>
        <v>3</v>
      </c>
      <c r="B4" s="28" t="s">
        <v>44</v>
      </c>
      <c r="C4" s="29"/>
      <c r="D4" s="28" t="s">
        <v>125</v>
      </c>
      <c r="E4" s="29" t="s">
        <v>126</v>
      </c>
      <c r="F4" s="29" t="s">
        <v>127</v>
      </c>
      <c r="G4" s="28">
        <v>46054</v>
      </c>
      <c r="H4" s="28" t="s">
        <v>92</v>
      </c>
      <c r="I4" s="28" t="s">
        <v>128</v>
      </c>
      <c r="J4" s="29" t="s">
        <v>129</v>
      </c>
      <c r="K4" s="29"/>
      <c r="L4" s="29"/>
      <c r="M4" s="30" t="s">
        <v>130</v>
      </c>
      <c r="N4" s="29"/>
      <c r="O4" s="29" t="s">
        <v>131</v>
      </c>
      <c r="P4" s="29" t="s">
        <v>132</v>
      </c>
      <c r="Q4" s="31" t="s">
        <v>133</v>
      </c>
      <c r="R4" s="32" t="s">
        <v>134</v>
      </c>
      <c r="S4" s="31"/>
      <c r="T4" s="31" t="s">
        <v>135</v>
      </c>
      <c r="U4" s="33" t="s">
        <v>136</v>
      </c>
      <c r="V4" s="34" t="s">
        <v>101</v>
      </c>
      <c r="W4" s="96" t="s">
        <v>2</v>
      </c>
      <c r="X4" s="96" t="s">
        <v>12</v>
      </c>
      <c r="Y4" s="97" t="s">
        <v>137</v>
      </c>
      <c r="Z4" s="97" t="s">
        <v>138</v>
      </c>
      <c r="AA4" s="97" t="s">
        <v>139</v>
      </c>
      <c r="AB4" s="35" t="s">
        <v>140</v>
      </c>
      <c r="AC4" s="36"/>
      <c r="AD4" s="37">
        <v>46127</v>
      </c>
      <c r="AE4" s="36"/>
      <c r="AF4" s="121" t="s">
        <v>2</v>
      </c>
      <c r="AG4" s="121" t="s">
        <v>12</v>
      </c>
      <c r="AH4" s="103" t="s">
        <v>107</v>
      </c>
      <c r="AI4" s="1">
        <f>Table1[[#This Row],[Efforts with out AI ]]-Table1[[#This Row],[Efforts with AI]]</f>
        <v>0</v>
      </c>
      <c r="AJ4" s="2"/>
    </row>
    <row r="5" spans="1:36" ht="396.75">
      <c r="A5" s="12">
        <f>ROW() - ROW(Table1[[#Headers],[S.No.]])</f>
        <v>4</v>
      </c>
      <c r="B5" s="13" t="s">
        <v>44</v>
      </c>
      <c r="C5" s="14"/>
      <c r="D5" s="13" t="s">
        <v>141</v>
      </c>
      <c r="E5" s="13" t="s">
        <v>142</v>
      </c>
      <c r="F5" s="14" t="s">
        <v>143</v>
      </c>
      <c r="G5" s="13">
        <v>46023</v>
      </c>
      <c r="H5" s="13" t="s">
        <v>144</v>
      </c>
      <c r="I5" s="13" t="s">
        <v>145</v>
      </c>
      <c r="J5" s="14" t="s">
        <v>146</v>
      </c>
      <c r="K5" s="14"/>
      <c r="L5" s="14"/>
      <c r="M5" s="15" t="s">
        <v>147</v>
      </c>
      <c r="N5" s="14"/>
      <c r="O5" s="14" t="s">
        <v>148</v>
      </c>
      <c r="P5" s="14" t="s">
        <v>149</v>
      </c>
      <c r="Q5" s="15" t="s">
        <v>150</v>
      </c>
      <c r="R5" s="38" t="s">
        <v>151</v>
      </c>
      <c r="S5" s="39" t="s">
        <v>0</v>
      </c>
      <c r="T5" s="39"/>
      <c r="U5" s="40" t="s">
        <v>152</v>
      </c>
      <c r="V5" s="41" t="s">
        <v>101</v>
      </c>
      <c r="W5" s="96" t="s">
        <v>2</v>
      </c>
      <c r="X5" s="96" t="s">
        <v>12</v>
      </c>
      <c r="Y5" s="98" t="s">
        <v>153</v>
      </c>
      <c r="Z5" s="98" t="s">
        <v>154</v>
      </c>
      <c r="AA5" s="98" t="s">
        <v>155</v>
      </c>
      <c r="AB5" s="22"/>
      <c r="AC5" s="22"/>
      <c r="AD5" s="22"/>
      <c r="AE5" s="22"/>
      <c r="AF5" s="121" t="s">
        <v>2</v>
      </c>
      <c r="AG5" s="121" t="s">
        <v>12</v>
      </c>
      <c r="AH5" s="103" t="s">
        <v>107</v>
      </c>
      <c r="AI5" s="1">
        <f>Table1[[#This Row],[Efforts with out AI ]]-Table1[[#This Row],[Efforts with AI]]</f>
        <v>0</v>
      </c>
      <c r="AJ5" s="2"/>
    </row>
    <row r="6" spans="1:36" ht="305.25">
      <c r="A6" s="12">
        <f>ROW() - ROW(Table1[[#Headers],[S.No.]])</f>
        <v>5</v>
      </c>
      <c r="B6" s="13" t="s">
        <v>44</v>
      </c>
      <c r="C6" s="14"/>
      <c r="D6" s="13" t="s">
        <v>156</v>
      </c>
      <c r="E6" s="13" t="s">
        <v>157</v>
      </c>
      <c r="F6" s="14" t="s">
        <v>158</v>
      </c>
      <c r="G6" s="13">
        <v>46023</v>
      </c>
      <c r="H6" s="13" t="s">
        <v>144</v>
      </c>
      <c r="I6" s="13" t="s">
        <v>159</v>
      </c>
      <c r="J6" s="14" t="s">
        <v>160</v>
      </c>
      <c r="K6" s="14"/>
      <c r="L6" s="14"/>
      <c r="M6" s="15" t="s">
        <v>161</v>
      </c>
      <c r="N6" s="14"/>
      <c r="O6" s="14" t="s">
        <v>162</v>
      </c>
      <c r="P6" s="14" t="s">
        <v>163</v>
      </c>
      <c r="Q6" s="15" t="s">
        <v>150</v>
      </c>
      <c r="R6" s="38" t="s">
        <v>164</v>
      </c>
      <c r="S6" s="39" t="s">
        <v>0</v>
      </c>
      <c r="T6" s="39" t="s">
        <v>10</v>
      </c>
      <c r="U6" s="40" t="s">
        <v>165</v>
      </c>
      <c r="V6" s="19" t="s">
        <v>101</v>
      </c>
      <c r="W6" s="96" t="s">
        <v>2</v>
      </c>
      <c r="X6" s="96" t="s">
        <v>12</v>
      </c>
      <c r="Y6" s="98" t="s">
        <v>166</v>
      </c>
      <c r="Z6" s="98" t="s">
        <v>167</v>
      </c>
      <c r="AA6" s="98" t="s">
        <v>168</v>
      </c>
      <c r="AB6" s="22"/>
      <c r="AC6" s="22"/>
      <c r="AD6" s="22"/>
      <c r="AE6" s="22"/>
      <c r="AF6" s="121" t="s">
        <v>2</v>
      </c>
      <c r="AG6" s="121" t="s">
        <v>12</v>
      </c>
      <c r="AH6" s="103" t="s">
        <v>107</v>
      </c>
      <c r="AI6" s="1">
        <f>Table1[[#This Row],[Efforts with out AI ]]-Table1[[#This Row],[Efforts with AI]]</f>
        <v>0</v>
      </c>
      <c r="AJ6" s="2"/>
    </row>
    <row r="7" spans="1:36" ht="396.75">
      <c r="A7" s="12">
        <f>ROW() - ROW(Table1[[#Headers],[S.No.]])</f>
        <v>6</v>
      </c>
      <c r="B7" s="13" t="s">
        <v>44</v>
      </c>
      <c r="C7" s="14"/>
      <c r="D7" s="13" t="s">
        <v>169</v>
      </c>
      <c r="E7" s="13" t="s">
        <v>170</v>
      </c>
      <c r="F7" s="14" t="s">
        <v>171</v>
      </c>
      <c r="G7" s="13">
        <v>46023</v>
      </c>
      <c r="H7" s="13" t="s">
        <v>144</v>
      </c>
      <c r="I7" s="13" t="s">
        <v>159</v>
      </c>
      <c r="J7" s="14" t="s">
        <v>172</v>
      </c>
      <c r="K7" s="14"/>
      <c r="L7" s="14"/>
      <c r="M7" s="23" t="s">
        <v>173</v>
      </c>
      <c r="N7" s="14"/>
      <c r="O7" s="14" t="s">
        <v>174</v>
      </c>
      <c r="P7" s="14" t="s">
        <v>175</v>
      </c>
      <c r="Q7" s="23" t="s">
        <v>150</v>
      </c>
      <c r="R7" s="24" t="s">
        <v>151</v>
      </c>
      <c r="S7" s="25" t="s">
        <v>0</v>
      </c>
      <c r="T7" s="25" t="s">
        <v>10</v>
      </c>
      <c r="U7" s="26" t="s">
        <v>176</v>
      </c>
      <c r="V7" s="25" t="s">
        <v>101</v>
      </c>
      <c r="W7" s="96" t="s">
        <v>2</v>
      </c>
      <c r="X7" s="96" t="s">
        <v>12</v>
      </c>
      <c r="Y7" s="98" t="s">
        <v>177</v>
      </c>
      <c r="Z7" s="98" t="s">
        <v>178</v>
      </c>
      <c r="AA7" s="98" t="s">
        <v>179</v>
      </c>
      <c r="AB7" s="22"/>
      <c r="AC7" s="22"/>
      <c r="AD7" s="22"/>
      <c r="AE7" s="22"/>
      <c r="AF7" s="121" t="s">
        <v>2</v>
      </c>
      <c r="AG7" s="121" t="s">
        <v>12</v>
      </c>
      <c r="AH7" s="103" t="s">
        <v>107</v>
      </c>
      <c r="AI7" s="1">
        <f>Table1[[#This Row],[Efforts with out AI ]]-Table1[[#This Row],[Efforts with AI]]</f>
        <v>0</v>
      </c>
      <c r="AJ7" s="2"/>
    </row>
    <row r="8" spans="1:36" ht="72.75">
      <c r="A8" s="27">
        <f>ROW() - ROW(Table1[[#Headers],[S.No.]])</f>
        <v>7</v>
      </c>
      <c r="B8" s="13" t="s">
        <v>45</v>
      </c>
      <c r="C8" s="14" t="s">
        <v>180</v>
      </c>
      <c r="D8" s="13"/>
      <c r="E8" s="13" t="s">
        <v>181</v>
      </c>
      <c r="F8" s="14" t="s">
        <v>182</v>
      </c>
      <c r="G8" s="13"/>
      <c r="H8" s="14"/>
      <c r="I8" s="13" t="s">
        <v>183</v>
      </c>
      <c r="J8" s="14"/>
      <c r="K8" s="14"/>
      <c r="L8" s="14"/>
      <c r="M8" s="14" t="s">
        <v>184</v>
      </c>
      <c r="N8" s="14"/>
      <c r="O8" s="14" t="s">
        <v>185</v>
      </c>
      <c r="P8" s="14" t="s">
        <v>186</v>
      </c>
      <c r="Q8" s="13"/>
      <c r="R8" s="13" t="s">
        <v>187</v>
      </c>
      <c r="S8" s="22" t="s">
        <v>0</v>
      </c>
      <c r="T8" s="22" t="s">
        <v>6</v>
      </c>
      <c r="U8" s="22" t="s">
        <v>188</v>
      </c>
      <c r="V8" s="22" t="s">
        <v>189</v>
      </c>
      <c r="W8" s="99" t="s">
        <v>2</v>
      </c>
      <c r="X8" s="99" t="s">
        <v>8</v>
      </c>
      <c r="Y8" s="59" t="s">
        <v>190</v>
      </c>
      <c r="Z8" s="59" t="s">
        <v>191</v>
      </c>
      <c r="AA8" s="59" t="s">
        <v>192</v>
      </c>
      <c r="AB8" s="42">
        <v>0.5</v>
      </c>
      <c r="AC8" s="22"/>
      <c r="AD8" s="22"/>
      <c r="AE8" s="22"/>
      <c r="AF8" s="120" t="s">
        <v>2</v>
      </c>
      <c r="AG8" s="120" t="s">
        <v>8</v>
      </c>
      <c r="AH8" s="103" t="s">
        <v>107</v>
      </c>
      <c r="AI8" s="1">
        <f>Table1[[#This Row],[Efforts with out AI ]]-Table1[[#This Row],[Efforts with AI]]</f>
        <v>0</v>
      </c>
      <c r="AJ8" s="2"/>
    </row>
    <row r="9" spans="1:36" ht="144.75">
      <c r="A9" s="12">
        <f>ROW() - ROW(Table1[[#Headers],[S.No.]])</f>
        <v>8</v>
      </c>
      <c r="B9" s="13" t="s">
        <v>45</v>
      </c>
      <c r="C9" s="14" t="s">
        <v>180</v>
      </c>
      <c r="D9" s="43"/>
      <c r="E9" s="13" t="s">
        <v>193</v>
      </c>
      <c r="F9" s="14" t="s">
        <v>194</v>
      </c>
      <c r="G9" s="43"/>
      <c r="H9" s="14"/>
      <c r="I9" s="13" t="s">
        <v>183</v>
      </c>
      <c r="J9" s="14"/>
      <c r="K9" s="14"/>
      <c r="L9" s="14"/>
      <c r="M9" s="14" t="s">
        <v>195</v>
      </c>
      <c r="N9" s="14"/>
      <c r="O9" s="14" t="s">
        <v>196</v>
      </c>
      <c r="P9" s="14" t="s">
        <v>197</v>
      </c>
      <c r="Q9" s="14"/>
      <c r="R9" s="14"/>
      <c r="S9" s="22" t="s">
        <v>5</v>
      </c>
      <c r="T9" s="22"/>
      <c r="U9" s="123" t="s">
        <v>188</v>
      </c>
      <c r="V9" s="22" t="s">
        <v>189</v>
      </c>
      <c r="W9" s="126" t="s">
        <v>7</v>
      </c>
      <c r="X9" s="126" t="s">
        <v>26</v>
      </c>
      <c r="Y9" s="127" t="s">
        <v>198</v>
      </c>
      <c r="Z9" s="127" t="s">
        <v>199</v>
      </c>
      <c r="AA9" s="127" t="s">
        <v>200</v>
      </c>
      <c r="AB9" s="22" t="s">
        <v>201</v>
      </c>
      <c r="AC9" s="22"/>
      <c r="AD9" s="22"/>
      <c r="AE9" s="22"/>
      <c r="AF9" s="100" t="s">
        <v>11</v>
      </c>
      <c r="AG9" s="100" t="s">
        <v>202</v>
      </c>
      <c r="AH9" s="103" t="s">
        <v>107</v>
      </c>
      <c r="AI9" s="1">
        <f>Table1[[#This Row],[Efforts with out AI ]]-Table1[[#This Row],[Efforts with AI]]</f>
        <v>0</v>
      </c>
      <c r="AJ9" s="2"/>
    </row>
    <row r="10" spans="1:36" ht="144.75">
      <c r="A10" s="12">
        <f>ROW() - ROW(Table1[[#Headers],[S.No.]])</f>
        <v>9</v>
      </c>
      <c r="B10" s="13" t="s">
        <v>45</v>
      </c>
      <c r="C10" s="14" t="s">
        <v>180</v>
      </c>
      <c r="D10" s="13"/>
      <c r="E10" s="13" t="s">
        <v>203</v>
      </c>
      <c r="F10" s="14" t="s">
        <v>204</v>
      </c>
      <c r="G10" s="13"/>
      <c r="H10" s="14"/>
      <c r="I10" s="13" t="s">
        <v>205</v>
      </c>
      <c r="J10" s="14"/>
      <c r="K10" s="14"/>
      <c r="L10" s="14"/>
      <c r="M10" s="14" t="s">
        <v>206</v>
      </c>
      <c r="N10" s="14"/>
      <c r="O10" s="14" t="s">
        <v>207</v>
      </c>
      <c r="P10" s="14" t="s">
        <v>208</v>
      </c>
      <c r="Q10" s="14"/>
      <c r="R10" s="14" t="s">
        <v>209</v>
      </c>
      <c r="S10" s="22" t="s">
        <v>0</v>
      </c>
      <c r="T10" s="22" t="s">
        <v>10</v>
      </c>
      <c r="U10" s="22" t="s">
        <v>188</v>
      </c>
      <c r="V10" s="22" t="s">
        <v>189</v>
      </c>
      <c r="W10" s="128" t="s">
        <v>41</v>
      </c>
      <c r="X10" s="128" t="s">
        <v>30</v>
      </c>
      <c r="Y10" s="130" t="s">
        <v>210</v>
      </c>
      <c r="Z10" s="130" t="s">
        <v>211</v>
      </c>
      <c r="AA10" s="130" t="s">
        <v>212</v>
      </c>
      <c r="AB10" s="22" t="s">
        <v>213</v>
      </c>
      <c r="AC10" s="22"/>
      <c r="AD10" s="22"/>
      <c r="AE10" s="22"/>
      <c r="AF10" s="100" t="s">
        <v>11</v>
      </c>
      <c r="AG10" s="100" t="s">
        <v>214</v>
      </c>
      <c r="AH10" s="103" t="s">
        <v>107</v>
      </c>
      <c r="AI10" s="1">
        <f>Table1[[#This Row],[Efforts with out AI ]]-Table1[[#This Row],[Efforts with AI]]</f>
        <v>0</v>
      </c>
      <c r="AJ10" s="2"/>
    </row>
    <row r="11" spans="1:36" ht="72.75">
      <c r="A11" s="12">
        <f>ROW() - ROW(Table1[[#Headers],[S.No.]])</f>
        <v>10</v>
      </c>
      <c r="B11" s="13" t="s">
        <v>45</v>
      </c>
      <c r="C11" s="14" t="s">
        <v>180</v>
      </c>
      <c r="D11" s="43"/>
      <c r="E11" s="13" t="s">
        <v>215</v>
      </c>
      <c r="F11" s="14" t="s">
        <v>216</v>
      </c>
      <c r="G11" s="43"/>
      <c r="H11" s="14"/>
      <c r="I11" s="13" t="s">
        <v>205</v>
      </c>
      <c r="J11" s="14"/>
      <c r="K11" s="14"/>
      <c r="L11" s="14"/>
      <c r="M11" s="14" t="s">
        <v>217</v>
      </c>
      <c r="N11" s="14"/>
      <c r="O11" s="14" t="s">
        <v>218</v>
      </c>
      <c r="P11" s="14" t="s">
        <v>219</v>
      </c>
      <c r="Q11" s="13"/>
      <c r="R11" s="13" t="s">
        <v>220</v>
      </c>
      <c r="S11" s="22" t="s">
        <v>0</v>
      </c>
      <c r="T11" s="22" t="s">
        <v>10</v>
      </c>
      <c r="U11" s="44" t="s">
        <v>188</v>
      </c>
      <c r="V11" s="22" t="s">
        <v>189</v>
      </c>
      <c r="W11" s="96" t="s">
        <v>2</v>
      </c>
      <c r="X11" s="96" t="s">
        <v>3</v>
      </c>
      <c r="Y11" s="75" t="s">
        <v>221</v>
      </c>
      <c r="Z11" s="75" t="s">
        <v>222</v>
      </c>
      <c r="AA11" s="75" t="s">
        <v>223</v>
      </c>
      <c r="AB11" s="42">
        <v>0.4</v>
      </c>
      <c r="AC11" s="22"/>
      <c r="AD11" s="22"/>
      <c r="AE11" s="22"/>
      <c r="AF11" s="121" t="s">
        <v>2</v>
      </c>
      <c r="AG11" s="121" t="s">
        <v>3</v>
      </c>
      <c r="AH11" s="103" t="s">
        <v>107</v>
      </c>
      <c r="AI11" s="1">
        <f>Table1[[#This Row],[Efforts with out AI ]]-Table1[[#This Row],[Efforts with AI]]</f>
        <v>0</v>
      </c>
      <c r="AJ11" s="2"/>
    </row>
    <row r="12" spans="1:36" ht="57.75">
      <c r="A12" s="27">
        <f>ROW() - ROW(Table1[[#Headers],[S.No.]])</f>
        <v>11</v>
      </c>
      <c r="B12" s="13" t="s">
        <v>45</v>
      </c>
      <c r="C12" s="14" t="s">
        <v>180</v>
      </c>
      <c r="D12" s="13"/>
      <c r="E12" s="13" t="s">
        <v>224</v>
      </c>
      <c r="F12" s="14" t="s">
        <v>225</v>
      </c>
      <c r="G12" s="13"/>
      <c r="H12" s="14"/>
      <c r="I12" s="13" t="s">
        <v>226</v>
      </c>
      <c r="J12" s="14"/>
      <c r="K12" s="14"/>
      <c r="L12" s="14"/>
      <c r="M12" s="14" t="s">
        <v>227</v>
      </c>
      <c r="N12" s="14" t="s">
        <v>228</v>
      </c>
      <c r="O12" s="14" t="s">
        <v>229</v>
      </c>
      <c r="P12" s="14" t="s">
        <v>230</v>
      </c>
      <c r="Q12" s="13"/>
      <c r="R12" s="13" t="s">
        <v>231</v>
      </c>
      <c r="S12" s="22" t="s">
        <v>5</v>
      </c>
      <c r="T12" s="22"/>
      <c r="U12" s="22" t="s">
        <v>188</v>
      </c>
      <c r="V12" s="22" t="s">
        <v>189</v>
      </c>
      <c r="W12" s="99" t="s">
        <v>2</v>
      </c>
      <c r="X12" s="99" t="s">
        <v>3</v>
      </c>
      <c r="Y12" s="59" t="s">
        <v>232</v>
      </c>
      <c r="Z12" s="59" t="s">
        <v>233</v>
      </c>
      <c r="AA12" s="59" t="s">
        <v>234</v>
      </c>
      <c r="AB12" s="42">
        <v>0.4</v>
      </c>
      <c r="AC12" s="22"/>
      <c r="AD12" s="22"/>
      <c r="AE12" s="22"/>
      <c r="AF12" s="57" t="s">
        <v>7</v>
      </c>
      <c r="AG12" s="57" t="s">
        <v>235</v>
      </c>
      <c r="AH12" s="103" t="s">
        <v>107</v>
      </c>
      <c r="AI12" s="1">
        <f>Table1[[#This Row],[Efforts with out AI ]]-Table1[[#This Row],[Efforts with AI]]</f>
        <v>0</v>
      </c>
      <c r="AJ12" s="2"/>
    </row>
    <row r="13" spans="1:36" ht="57.75">
      <c r="A13" s="12">
        <f>ROW() - ROW(Table1[[#Headers],[S.No.]])</f>
        <v>12</v>
      </c>
      <c r="B13" s="13" t="s">
        <v>45</v>
      </c>
      <c r="C13" s="14" t="s">
        <v>180</v>
      </c>
      <c r="D13" s="43"/>
      <c r="E13" s="13" t="s">
        <v>236</v>
      </c>
      <c r="F13" s="14" t="s">
        <v>237</v>
      </c>
      <c r="G13" s="43"/>
      <c r="H13" s="14"/>
      <c r="I13" s="13" t="s">
        <v>238</v>
      </c>
      <c r="J13" s="14"/>
      <c r="K13" s="14"/>
      <c r="L13" s="14"/>
      <c r="M13" s="14" t="s">
        <v>239</v>
      </c>
      <c r="N13" s="14"/>
      <c r="O13" s="14" t="s">
        <v>240</v>
      </c>
      <c r="P13" s="14" t="s">
        <v>241</v>
      </c>
      <c r="Q13" s="13"/>
      <c r="R13" s="13" t="s">
        <v>242</v>
      </c>
      <c r="S13" s="22" t="s">
        <v>5</v>
      </c>
      <c r="T13" s="22"/>
      <c r="U13" s="44" t="s">
        <v>188</v>
      </c>
      <c r="V13" s="22" t="s">
        <v>189</v>
      </c>
      <c r="W13" s="96" t="s">
        <v>2</v>
      </c>
      <c r="X13" s="96" t="s">
        <v>3</v>
      </c>
      <c r="Y13" s="75" t="s">
        <v>232</v>
      </c>
      <c r="Z13" s="75" t="s">
        <v>233</v>
      </c>
      <c r="AA13" s="75" t="s">
        <v>234</v>
      </c>
      <c r="AB13" s="42">
        <v>0.5</v>
      </c>
      <c r="AC13" s="22"/>
      <c r="AD13" s="22"/>
      <c r="AE13" s="22"/>
      <c r="AF13" s="57" t="s">
        <v>7</v>
      </c>
      <c r="AG13" s="57" t="s">
        <v>235</v>
      </c>
      <c r="AH13" s="103" t="s">
        <v>107</v>
      </c>
      <c r="AI13" s="1">
        <f>Table1[[#This Row],[Efforts with out AI ]]-Table1[[#This Row],[Efforts with AI]]</f>
        <v>0</v>
      </c>
      <c r="AJ13" s="2"/>
    </row>
    <row r="14" spans="1:36" ht="72.75">
      <c r="A14" s="12">
        <f>ROW() - ROW(Table1[[#Headers],[S.No.]])</f>
        <v>13</v>
      </c>
      <c r="B14" s="13" t="s">
        <v>45</v>
      </c>
      <c r="C14" s="14" t="s">
        <v>180</v>
      </c>
      <c r="D14" s="13"/>
      <c r="E14" s="13" t="s">
        <v>243</v>
      </c>
      <c r="F14" s="14" t="s">
        <v>244</v>
      </c>
      <c r="G14" s="13"/>
      <c r="H14" s="14"/>
      <c r="I14" s="13" t="s">
        <v>245</v>
      </c>
      <c r="J14" s="14"/>
      <c r="K14" s="14"/>
      <c r="L14" s="14"/>
      <c r="M14" s="14" t="s">
        <v>246</v>
      </c>
      <c r="N14" s="14"/>
      <c r="O14" s="14" t="s">
        <v>247</v>
      </c>
      <c r="P14" s="14" t="s">
        <v>248</v>
      </c>
      <c r="Q14" s="13"/>
      <c r="R14" s="13" t="s">
        <v>249</v>
      </c>
      <c r="S14" s="22" t="s">
        <v>5</v>
      </c>
      <c r="T14" s="22"/>
      <c r="U14" s="22" t="s">
        <v>188</v>
      </c>
      <c r="V14" s="22" t="s">
        <v>189</v>
      </c>
      <c r="W14" s="99" t="s">
        <v>2</v>
      </c>
      <c r="X14" s="99" t="s">
        <v>3</v>
      </c>
      <c r="Y14" s="59" t="s">
        <v>232</v>
      </c>
      <c r="Z14" s="59" t="s">
        <v>233</v>
      </c>
      <c r="AA14" s="59" t="s">
        <v>250</v>
      </c>
      <c r="AB14" s="42">
        <v>0.4</v>
      </c>
      <c r="AC14" s="22"/>
      <c r="AD14" s="22"/>
      <c r="AE14" s="22"/>
      <c r="AF14" s="57" t="s">
        <v>7</v>
      </c>
      <c r="AG14" s="57" t="s">
        <v>235</v>
      </c>
      <c r="AH14" s="103" t="s">
        <v>107</v>
      </c>
      <c r="AI14" s="1">
        <f>Table1[[#This Row],[Efforts with out AI ]]-Table1[[#This Row],[Efforts with AI]]</f>
        <v>0</v>
      </c>
      <c r="AJ14" s="2"/>
    </row>
    <row r="15" spans="1:36" ht="130.5">
      <c r="A15" s="12">
        <f>ROW() - ROW(Table1[[#Headers],[S.No.]])</f>
        <v>14</v>
      </c>
      <c r="B15" s="13" t="s">
        <v>45</v>
      </c>
      <c r="C15" s="14" t="s">
        <v>180</v>
      </c>
      <c r="D15" s="43"/>
      <c r="E15" s="13" t="s">
        <v>251</v>
      </c>
      <c r="F15" s="14" t="s">
        <v>252</v>
      </c>
      <c r="G15" s="43"/>
      <c r="H15" s="14"/>
      <c r="I15" s="13" t="s">
        <v>253</v>
      </c>
      <c r="J15" s="14"/>
      <c r="K15" s="14"/>
      <c r="L15" s="14"/>
      <c r="M15" s="14" t="s">
        <v>254</v>
      </c>
      <c r="N15" s="14"/>
      <c r="O15" s="14" t="s">
        <v>255</v>
      </c>
      <c r="P15" s="14" t="s">
        <v>256</v>
      </c>
      <c r="Q15" s="14"/>
      <c r="R15" s="14" t="s">
        <v>257</v>
      </c>
      <c r="S15" s="22" t="s">
        <v>5</v>
      </c>
      <c r="T15" s="22"/>
      <c r="U15" s="123" t="s">
        <v>188</v>
      </c>
      <c r="V15" s="22" t="s">
        <v>189</v>
      </c>
      <c r="W15" s="126" t="s">
        <v>7</v>
      </c>
      <c r="X15" s="126" t="s">
        <v>27</v>
      </c>
      <c r="Y15" s="127" t="s">
        <v>258</v>
      </c>
      <c r="Z15" s="127" t="s">
        <v>259</v>
      </c>
      <c r="AA15" s="127" t="s">
        <v>260</v>
      </c>
      <c r="AB15" s="42">
        <v>0.5</v>
      </c>
      <c r="AC15" s="22"/>
      <c r="AD15" s="22"/>
      <c r="AE15" s="22"/>
      <c r="AF15" s="100" t="s">
        <v>11</v>
      </c>
      <c r="AG15" s="100" t="s">
        <v>261</v>
      </c>
      <c r="AH15" s="103" t="s">
        <v>107</v>
      </c>
      <c r="AI15" s="1">
        <f>Table1[[#This Row],[Efforts with out AI ]]-Table1[[#This Row],[Efforts with AI]]</f>
        <v>0</v>
      </c>
      <c r="AJ15" s="2"/>
    </row>
    <row r="16" spans="1:36" ht="130.5">
      <c r="A16" s="27">
        <f>ROW() - ROW(Table1[[#Headers],[S.No.]])</f>
        <v>15</v>
      </c>
      <c r="B16" s="13" t="s">
        <v>45</v>
      </c>
      <c r="C16" s="14" t="s">
        <v>180</v>
      </c>
      <c r="D16" s="13"/>
      <c r="E16" s="13" t="s">
        <v>262</v>
      </c>
      <c r="F16" s="14" t="s">
        <v>263</v>
      </c>
      <c r="G16" s="13"/>
      <c r="H16" s="14"/>
      <c r="I16" s="13" t="s">
        <v>253</v>
      </c>
      <c r="J16" s="14"/>
      <c r="K16" s="14"/>
      <c r="L16" s="14"/>
      <c r="M16" s="14" t="s">
        <v>264</v>
      </c>
      <c r="N16" s="14"/>
      <c r="O16" s="14" t="s">
        <v>265</v>
      </c>
      <c r="P16" s="14" t="s">
        <v>266</v>
      </c>
      <c r="Q16" s="14"/>
      <c r="R16" s="14" t="s">
        <v>267</v>
      </c>
      <c r="S16" s="22" t="s">
        <v>0</v>
      </c>
      <c r="T16" s="22" t="s">
        <v>10</v>
      </c>
      <c r="U16" s="22" t="s">
        <v>188</v>
      </c>
      <c r="V16" s="22" t="s">
        <v>189</v>
      </c>
      <c r="W16" s="129" t="s">
        <v>2</v>
      </c>
      <c r="X16" s="129" t="s">
        <v>3</v>
      </c>
      <c r="Y16" s="130" t="s">
        <v>268</v>
      </c>
      <c r="Z16" s="130" t="s">
        <v>269</v>
      </c>
      <c r="AA16" s="130" t="s">
        <v>270</v>
      </c>
      <c r="AB16" s="42">
        <v>0.7</v>
      </c>
      <c r="AC16" s="22"/>
      <c r="AD16" s="22"/>
      <c r="AE16" s="22"/>
      <c r="AF16" s="100" t="s">
        <v>11</v>
      </c>
      <c r="AG16" s="100" t="s">
        <v>271</v>
      </c>
      <c r="AH16" s="103" t="s">
        <v>107</v>
      </c>
      <c r="AI16" s="1">
        <f>Table1[[#This Row],[Efforts with out AI ]]-Table1[[#This Row],[Efforts with AI]]</f>
        <v>0</v>
      </c>
      <c r="AJ16" s="2"/>
    </row>
    <row r="17" spans="1:36" ht="72.75">
      <c r="A17" s="12">
        <f>ROW() - ROW(Table1[[#Headers],[S.No.]])</f>
        <v>16</v>
      </c>
      <c r="B17" s="13" t="s">
        <v>45</v>
      </c>
      <c r="C17" s="14" t="s">
        <v>180</v>
      </c>
      <c r="D17" s="43"/>
      <c r="E17" s="13" t="s">
        <v>272</v>
      </c>
      <c r="F17" s="14" t="s">
        <v>273</v>
      </c>
      <c r="G17" s="43"/>
      <c r="H17" s="14"/>
      <c r="I17" s="13" t="s">
        <v>274</v>
      </c>
      <c r="J17" s="14"/>
      <c r="K17" s="14"/>
      <c r="L17" s="14"/>
      <c r="M17" s="14" t="s">
        <v>275</v>
      </c>
      <c r="N17" s="14"/>
      <c r="O17" s="14" t="s">
        <v>276</v>
      </c>
      <c r="P17" s="14" t="s">
        <v>277</v>
      </c>
      <c r="Q17" s="13"/>
      <c r="R17" s="13" t="s">
        <v>278</v>
      </c>
      <c r="S17" s="22" t="s">
        <v>0</v>
      </c>
      <c r="T17" s="22" t="s">
        <v>10</v>
      </c>
      <c r="U17" s="44" t="s">
        <v>279</v>
      </c>
      <c r="V17" s="22" t="s">
        <v>189</v>
      </c>
      <c r="W17" s="96" t="s">
        <v>2</v>
      </c>
      <c r="X17" s="96" t="s">
        <v>3</v>
      </c>
      <c r="Y17" s="75" t="s">
        <v>232</v>
      </c>
      <c r="Z17" s="75" t="s">
        <v>233</v>
      </c>
      <c r="AA17" s="75" t="s">
        <v>280</v>
      </c>
      <c r="AB17" s="42">
        <v>0.7</v>
      </c>
      <c r="AC17" s="22"/>
      <c r="AD17" s="22"/>
      <c r="AE17" s="22"/>
      <c r="AF17" s="57" t="s">
        <v>7</v>
      </c>
      <c r="AG17" s="57" t="s">
        <v>235</v>
      </c>
      <c r="AH17" s="103" t="s">
        <v>107</v>
      </c>
      <c r="AI17" s="1">
        <f>Table1[[#This Row],[Efforts with out AI ]]-Table1[[#This Row],[Efforts with AI]]</f>
        <v>0</v>
      </c>
      <c r="AJ17" s="2"/>
    </row>
    <row r="18" spans="1:36" ht="87">
      <c r="A18" s="12">
        <f>ROW() - ROW(Table1[[#Headers],[S.No.]])</f>
        <v>17</v>
      </c>
      <c r="B18" s="13" t="s">
        <v>45</v>
      </c>
      <c r="C18" s="14" t="s">
        <v>281</v>
      </c>
      <c r="D18" s="13"/>
      <c r="E18" s="13" t="s">
        <v>282</v>
      </c>
      <c r="F18" s="14" t="s">
        <v>283</v>
      </c>
      <c r="G18" s="13"/>
      <c r="H18" s="14" t="s">
        <v>112</v>
      </c>
      <c r="I18" s="13" t="s">
        <v>284</v>
      </c>
      <c r="J18" s="14"/>
      <c r="K18" s="14"/>
      <c r="L18" s="14"/>
      <c r="M18" s="14" t="s">
        <v>285</v>
      </c>
      <c r="N18" s="14"/>
      <c r="O18" s="14" t="s">
        <v>286</v>
      </c>
      <c r="P18" s="14"/>
      <c r="Q18" s="13"/>
      <c r="R18" s="13"/>
      <c r="S18" s="22" t="s">
        <v>0</v>
      </c>
      <c r="T18" s="22" t="s">
        <v>10</v>
      </c>
      <c r="U18" s="22" t="s">
        <v>279</v>
      </c>
      <c r="V18" s="22" t="s">
        <v>189</v>
      </c>
      <c r="W18" s="99" t="s">
        <v>2</v>
      </c>
      <c r="X18" s="99" t="s">
        <v>3</v>
      </c>
      <c r="Y18" s="59" t="s">
        <v>232</v>
      </c>
      <c r="Z18" s="59" t="s">
        <v>233</v>
      </c>
      <c r="AA18" s="59" t="s">
        <v>250</v>
      </c>
      <c r="AB18" s="22"/>
      <c r="AC18" s="22"/>
      <c r="AD18" s="22"/>
      <c r="AE18" s="22"/>
      <c r="AF18" s="57" t="s">
        <v>7</v>
      </c>
      <c r="AG18" s="57" t="s">
        <v>235</v>
      </c>
      <c r="AH18" s="103" t="s">
        <v>107</v>
      </c>
      <c r="AI18" s="1">
        <f>Table1[[#This Row],[Efforts with out AI ]]-Table1[[#This Row],[Efforts with AI]]</f>
        <v>0</v>
      </c>
      <c r="AJ18" s="2"/>
    </row>
    <row r="19" spans="1:36" ht="72.75">
      <c r="A19" s="12">
        <f>ROW() - ROW(Table1[[#Headers],[S.No.]])</f>
        <v>18</v>
      </c>
      <c r="B19" s="13" t="s">
        <v>45</v>
      </c>
      <c r="C19" s="14" t="s">
        <v>281</v>
      </c>
      <c r="D19" s="43"/>
      <c r="E19" s="13" t="s">
        <v>287</v>
      </c>
      <c r="F19" s="14" t="s">
        <v>288</v>
      </c>
      <c r="G19" s="43"/>
      <c r="H19" s="14" t="s">
        <v>289</v>
      </c>
      <c r="I19" s="13" t="s">
        <v>290</v>
      </c>
      <c r="J19" s="14"/>
      <c r="K19" s="14"/>
      <c r="L19" s="14"/>
      <c r="M19" s="14" t="s">
        <v>291</v>
      </c>
      <c r="N19" s="14"/>
      <c r="O19" s="14" t="s">
        <v>292</v>
      </c>
      <c r="P19" s="14"/>
      <c r="Q19" s="13"/>
      <c r="R19" s="13"/>
      <c r="S19" s="22" t="s">
        <v>5</v>
      </c>
      <c r="T19" s="22" t="s">
        <v>10</v>
      </c>
      <c r="U19" s="45" t="s">
        <v>293</v>
      </c>
      <c r="V19" s="22" t="s">
        <v>189</v>
      </c>
      <c r="W19" s="96" t="s">
        <v>2</v>
      </c>
      <c r="X19" s="96" t="s">
        <v>3</v>
      </c>
      <c r="Y19" s="75" t="s">
        <v>232</v>
      </c>
      <c r="Z19" s="75" t="s">
        <v>233</v>
      </c>
      <c r="AA19" s="75" t="s">
        <v>250</v>
      </c>
      <c r="AB19" s="22"/>
      <c r="AC19" s="22"/>
      <c r="AD19" s="22"/>
      <c r="AE19" s="22"/>
      <c r="AF19" s="57" t="s">
        <v>7</v>
      </c>
      <c r="AG19" s="57" t="s">
        <v>235</v>
      </c>
      <c r="AH19" s="103" t="s">
        <v>107</v>
      </c>
      <c r="AI19" s="1">
        <f>Table1[[#This Row],[Efforts with out AI ]]-Table1[[#This Row],[Efforts with AI]]</f>
        <v>0</v>
      </c>
      <c r="AJ19" s="2"/>
    </row>
    <row r="20" spans="1:36" ht="87">
      <c r="A20" s="27">
        <f>ROW() - ROW(Table1[[#Headers],[S.No.]])</f>
        <v>19</v>
      </c>
      <c r="B20" s="13" t="s">
        <v>45</v>
      </c>
      <c r="C20" s="14" t="s">
        <v>294</v>
      </c>
      <c r="D20" s="13"/>
      <c r="E20" s="13" t="s">
        <v>295</v>
      </c>
      <c r="F20" s="14" t="s">
        <v>296</v>
      </c>
      <c r="G20" s="13">
        <v>46079</v>
      </c>
      <c r="H20" s="14" t="s">
        <v>144</v>
      </c>
      <c r="I20" s="13" t="s">
        <v>297</v>
      </c>
      <c r="J20" s="14" t="s">
        <v>298</v>
      </c>
      <c r="K20" s="14" t="s">
        <v>299</v>
      </c>
      <c r="L20" s="14" t="s">
        <v>300</v>
      </c>
      <c r="M20" s="14" t="s">
        <v>301</v>
      </c>
      <c r="N20" s="14" t="s">
        <v>302</v>
      </c>
      <c r="O20" s="14" t="s">
        <v>303</v>
      </c>
      <c r="P20" s="14" t="s">
        <v>304</v>
      </c>
      <c r="Q20" s="13"/>
      <c r="R20" s="13" t="s">
        <v>305</v>
      </c>
      <c r="S20" s="22" t="s">
        <v>0</v>
      </c>
      <c r="T20" s="22" t="s">
        <v>10</v>
      </c>
      <c r="U20" s="22" t="s">
        <v>306</v>
      </c>
      <c r="V20" s="22" t="s">
        <v>189</v>
      </c>
      <c r="W20" s="99" t="s">
        <v>2</v>
      </c>
      <c r="X20" s="99" t="s">
        <v>3</v>
      </c>
      <c r="Y20" s="59" t="s">
        <v>307</v>
      </c>
      <c r="Z20" s="59" t="s">
        <v>308</v>
      </c>
      <c r="AA20" s="59" t="s">
        <v>309</v>
      </c>
      <c r="AB20" s="22"/>
      <c r="AC20" s="22"/>
      <c r="AD20" s="22"/>
      <c r="AE20" s="22"/>
      <c r="AF20" s="121" t="s">
        <v>2</v>
      </c>
      <c r="AG20" s="121" t="s">
        <v>3</v>
      </c>
      <c r="AH20" s="103" t="s">
        <v>107</v>
      </c>
      <c r="AI20" s="1" t="e">
        <f>Table1[[#This Row],[Efforts with out AI ]]-Table1[[#This Row],[Efforts with AI]]</f>
        <v>#VALUE!</v>
      </c>
      <c r="AJ20" s="2"/>
    </row>
    <row r="21" spans="1:36" ht="87">
      <c r="A21" s="12">
        <f>ROW() - ROW(Table1[[#Headers],[S.No.]])</f>
        <v>20</v>
      </c>
      <c r="B21" s="13" t="s">
        <v>45</v>
      </c>
      <c r="C21" s="14" t="s">
        <v>294</v>
      </c>
      <c r="D21" s="43"/>
      <c r="E21" s="13" t="s">
        <v>310</v>
      </c>
      <c r="F21" s="14" t="s">
        <v>311</v>
      </c>
      <c r="G21" s="43">
        <v>46079</v>
      </c>
      <c r="H21" s="14" t="s">
        <v>144</v>
      </c>
      <c r="I21" s="13" t="s">
        <v>312</v>
      </c>
      <c r="J21" s="14" t="s">
        <v>313</v>
      </c>
      <c r="K21" s="14" t="s">
        <v>314</v>
      </c>
      <c r="L21" s="14" t="s">
        <v>315</v>
      </c>
      <c r="M21" s="14" t="s">
        <v>316</v>
      </c>
      <c r="N21" s="14" t="s">
        <v>317</v>
      </c>
      <c r="O21" s="14" t="s">
        <v>318</v>
      </c>
      <c r="P21" s="14" t="s">
        <v>319</v>
      </c>
      <c r="Q21" s="13"/>
      <c r="R21" s="13" t="s">
        <v>320</v>
      </c>
      <c r="S21" s="22" t="s">
        <v>0</v>
      </c>
      <c r="T21" s="22" t="s">
        <v>10</v>
      </c>
      <c r="U21" s="44" t="s">
        <v>321</v>
      </c>
      <c r="V21" s="22" t="s">
        <v>189</v>
      </c>
      <c r="W21" s="96" t="s">
        <v>2</v>
      </c>
      <c r="X21" s="96" t="s">
        <v>3</v>
      </c>
      <c r="Y21" s="75" t="s">
        <v>322</v>
      </c>
      <c r="Z21" s="75" t="s">
        <v>323</v>
      </c>
      <c r="AA21" s="75" t="s">
        <v>324</v>
      </c>
      <c r="AB21" s="22"/>
      <c r="AC21" s="22"/>
      <c r="AD21" s="22"/>
      <c r="AE21" s="22"/>
      <c r="AF21" s="121" t="s">
        <v>2</v>
      </c>
      <c r="AG21" s="121" t="s">
        <v>3</v>
      </c>
      <c r="AH21" s="103" t="s">
        <v>107</v>
      </c>
      <c r="AI21" s="1" t="e">
        <f>Table1[[#This Row],[Efforts with out AI ]]-Table1[[#This Row],[Efforts with AI]]</f>
        <v>#VALUE!</v>
      </c>
      <c r="AJ21" s="2"/>
    </row>
    <row r="22" spans="1:36" ht="87">
      <c r="A22" s="12">
        <f>ROW() - ROW(Table1[[#Headers],[S.No.]])</f>
        <v>21</v>
      </c>
      <c r="B22" s="13" t="s">
        <v>45</v>
      </c>
      <c r="C22" s="14" t="s">
        <v>294</v>
      </c>
      <c r="D22" s="13"/>
      <c r="E22" s="13" t="s">
        <v>325</v>
      </c>
      <c r="F22" s="14" t="s">
        <v>326</v>
      </c>
      <c r="G22" s="13">
        <v>46079</v>
      </c>
      <c r="H22" s="14" t="s">
        <v>144</v>
      </c>
      <c r="I22" s="13" t="s">
        <v>325</v>
      </c>
      <c r="J22" s="14"/>
      <c r="K22" s="14" t="s">
        <v>327</v>
      </c>
      <c r="L22" s="14" t="s">
        <v>328</v>
      </c>
      <c r="M22" s="14" t="s">
        <v>329</v>
      </c>
      <c r="N22" s="14" t="s">
        <v>302</v>
      </c>
      <c r="O22" s="14" t="s">
        <v>330</v>
      </c>
      <c r="P22" s="14"/>
      <c r="Q22" s="13"/>
      <c r="R22" s="13"/>
      <c r="S22" s="22"/>
      <c r="T22" s="22"/>
      <c r="U22" s="22"/>
      <c r="V22" s="22" t="s">
        <v>189</v>
      </c>
      <c r="W22" s="99" t="s">
        <v>2</v>
      </c>
      <c r="X22" s="99" t="s">
        <v>3</v>
      </c>
      <c r="Y22" s="59" t="s">
        <v>232</v>
      </c>
      <c r="Z22" s="59" t="s">
        <v>233</v>
      </c>
      <c r="AA22" s="59" t="s">
        <v>331</v>
      </c>
      <c r="AB22" s="22"/>
      <c r="AC22" s="22"/>
      <c r="AD22" s="22"/>
      <c r="AE22" s="22"/>
      <c r="AF22" s="57" t="s">
        <v>7</v>
      </c>
      <c r="AG22" s="57" t="s">
        <v>235</v>
      </c>
      <c r="AH22" s="103" t="s">
        <v>107</v>
      </c>
      <c r="AI22" s="1" t="e">
        <f>Table1[[#This Row],[Efforts with out AI ]]-Table1[[#This Row],[Efforts with AI]]</f>
        <v>#VALUE!</v>
      </c>
      <c r="AJ22" s="2"/>
    </row>
    <row r="23" spans="1:36" ht="72.75">
      <c r="A23" s="12">
        <f>ROW() - ROW(Table1[[#Headers],[S.No.]])</f>
        <v>22</v>
      </c>
      <c r="B23" s="13" t="s">
        <v>45</v>
      </c>
      <c r="C23" s="14" t="s">
        <v>294</v>
      </c>
      <c r="D23" s="43"/>
      <c r="E23" s="13" t="s">
        <v>332</v>
      </c>
      <c r="F23" s="14" t="s">
        <v>333</v>
      </c>
      <c r="G23" s="43">
        <v>46079</v>
      </c>
      <c r="H23" s="14" t="s">
        <v>144</v>
      </c>
      <c r="I23" s="13" t="s">
        <v>334</v>
      </c>
      <c r="J23" s="14"/>
      <c r="K23" s="14" t="s">
        <v>299</v>
      </c>
      <c r="L23" s="14" t="s">
        <v>300</v>
      </c>
      <c r="M23" s="14" t="s">
        <v>335</v>
      </c>
      <c r="N23" s="14" t="s">
        <v>302</v>
      </c>
      <c r="O23" s="14" t="s">
        <v>336</v>
      </c>
      <c r="P23" s="14"/>
      <c r="Q23" s="13"/>
      <c r="R23" s="13"/>
      <c r="S23" s="22"/>
      <c r="T23" s="22"/>
      <c r="U23" s="44"/>
      <c r="V23" s="22" t="s">
        <v>189</v>
      </c>
      <c r="W23" s="96" t="s">
        <v>2</v>
      </c>
      <c r="X23" s="96" t="s">
        <v>3</v>
      </c>
      <c r="Y23" s="75" t="s">
        <v>232</v>
      </c>
      <c r="Z23" s="75" t="s">
        <v>233</v>
      </c>
      <c r="AA23" s="75" t="s">
        <v>337</v>
      </c>
      <c r="AB23" s="22"/>
      <c r="AC23" s="22"/>
      <c r="AD23" s="22"/>
      <c r="AE23" s="22"/>
      <c r="AF23" s="57" t="s">
        <v>7</v>
      </c>
      <c r="AG23" s="57" t="s">
        <v>235</v>
      </c>
      <c r="AH23" s="103" t="s">
        <v>107</v>
      </c>
      <c r="AI23" s="1" t="e">
        <f>Table1[[#This Row],[Efforts with out AI ]]-Table1[[#This Row],[Efforts with AI]]</f>
        <v>#VALUE!</v>
      </c>
      <c r="AJ23" s="2"/>
    </row>
    <row r="24" spans="1:36" ht="72.75">
      <c r="A24" s="12">
        <f>ROW() - ROW(Table1[[#Headers],[S.No.]])</f>
        <v>23</v>
      </c>
      <c r="B24" s="13" t="s">
        <v>45</v>
      </c>
      <c r="C24" s="14" t="s">
        <v>338</v>
      </c>
      <c r="D24" s="13"/>
      <c r="E24" s="13" t="s">
        <v>339</v>
      </c>
      <c r="F24" s="14" t="s">
        <v>340</v>
      </c>
      <c r="G24" s="13">
        <v>46079</v>
      </c>
      <c r="H24" s="14" t="s">
        <v>341</v>
      </c>
      <c r="I24" s="13" t="s">
        <v>342</v>
      </c>
      <c r="J24" s="14" t="s">
        <v>343</v>
      </c>
      <c r="K24" s="14" t="s">
        <v>314</v>
      </c>
      <c r="L24" s="14" t="s">
        <v>315</v>
      </c>
      <c r="M24" s="14" t="s">
        <v>344</v>
      </c>
      <c r="N24" s="14" t="s">
        <v>345</v>
      </c>
      <c r="O24" s="14" t="s">
        <v>346</v>
      </c>
      <c r="P24" s="14"/>
      <c r="Q24" s="13"/>
      <c r="R24" s="13"/>
      <c r="S24" s="22" t="s">
        <v>5</v>
      </c>
      <c r="T24" s="22"/>
      <c r="U24" s="22" t="s">
        <v>347</v>
      </c>
      <c r="V24" s="22" t="s">
        <v>189</v>
      </c>
      <c r="W24" s="99" t="s">
        <v>2</v>
      </c>
      <c r="X24" s="99" t="s">
        <v>3</v>
      </c>
      <c r="Y24" s="59" t="s">
        <v>232</v>
      </c>
      <c r="Z24" s="59" t="s">
        <v>233</v>
      </c>
      <c r="AA24" s="59" t="s">
        <v>348</v>
      </c>
      <c r="AB24" s="22"/>
      <c r="AC24" s="22"/>
      <c r="AD24" s="22"/>
      <c r="AE24" s="22"/>
      <c r="AF24" s="57" t="s">
        <v>7</v>
      </c>
      <c r="AG24" s="57" t="s">
        <v>235</v>
      </c>
      <c r="AH24" s="103" t="s">
        <v>107</v>
      </c>
      <c r="AI24" s="1" t="e">
        <f>Table1[[#This Row],[Efforts with out AI ]]-Table1[[#This Row],[Efforts with AI]]</f>
        <v>#VALUE!</v>
      </c>
      <c r="AJ24" s="2"/>
    </row>
    <row r="25" spans="1:36" ht="274.5">
      <c r="A25" s="12">
        <f>ROW() - ROW(Table1[[#Headers],[S.No.]])</f>
        <v>24</v>
      </c>
      <c r="B25" s="13" t="s">
        <v>46</v>
      </c>
      <c r="C25" s="14" t="s">
        <v>349</v>
      </c>
      <c r="D25" s="43" t="s">
        <v>350</v>
      </c>
      <c r="E25" s="13" t="s">
        <v>351</v>
      </c>
      <c r="F25" s="14" t="s">
        <v>352</v>
      </c>
      <c r="G25" s="43">
        <v>46079.448238541663</v>
      </c>
      <c r="H25" s="14" t="s">
        <v>201</v>
      </c>
      <c r="I25" s="13" t="s">
        <v>353</v>
      </c>
      <c r="J25" s="14" t="s">
        <v>354</v>
      </c>
      <c r="K25" s="14" t="s">
        <v>355</v>
      </c>
      <c r="L25" s="14" t="s">
        <v>356</v>
      </c>
      <c r="M25" s="14" t="s">
        <v>357</v>
      </c>
      <c r="N25" s="14" t="s">
        <v>201</v>
      </c>
      <c r="O25" s="14" t="s">
        <v>358</v>
      </c>
      <c r="P25" s="14" t="str">
        <f>Table1[[#This Row],[Business Benefits / Impact]]</f>
        <v xml:space="preserve">• Improves SLA compliance: Reduces MTTD from hours to minutes, directly supporting higher SLA tiers
• Scales operations: Automates routine threat analysis, allowing teams to handle 3–5x more clients without proportional headcount increase
• Increases revenue per customer: Premium support tiers with faster response times command 15–25% higher fees
• Reduces alert fatigue: ML prioritizes critical threats, reducing false positives by 40–60%, improving team morale and accuracy
</v>
      </c>
      <c r="Q25" s="13" t="s">
        <v>359</v>
      </c>
      <c r="R25" s="13"/>
      <c r="S25" s="22" t="s">
        <v>0</v>
      </c>
      <c r="T25" s="22" t="s">
        <v>10</v>
      </c>
      <c r="U25" s="44" t="s">
        <v>360</v>
      </c>
      <c r="V25" s="22" t="s">
        <v>359</v>
      </c>
      <c r="W25" s="96" t="s">
        <v>2</v>
      </c>
      <c r="X25" s="96" t="s">
        <v>3</v>
      </c>
      <c r="Y25" s="75" t="s">
        <v>361</v>
      </c>
      <c r="Z25" s="75" t="s">
        <v>362</v>
      </c>
      <c r="AA25" s="75" t="s">
        <v>363</v>
      </c>
      <c r="AB25" s="22"/>
      <c r="AC25" s="22"/>
      <c r="AD25" s="22"/>
      <c r="AE25" s="22"/>
      <c r="AF25" s="121" t="s">
        <v>2</v>
      </c>
      <c r="AG25" s="121" t="s">
        <v>3</v>
      </c>
      <c r="AH25" s="103" t="s">
        <v>107</v>
      </c>
      <c r="AI25" s="1" t="e">
        <f>Table1[[#This Row],[Efforts with out AI ]]-Table1[[#This Row],[Efforts with AI]]</f>
        <v>#VALUE!</v>
      </c>
      <c r="AJ25" s="2"/>
    </row>
    <row r="26" spans="1:36" ht="303.75">
      <c r="A26" s="12">
        <f>ROW() - ROW(Table1[[#Headers],[S.No.]])</f>
        <v>25</v>
      </c>
      <c r="B26" s="13" t="s">
        <v>46</v>
      </c>
      <c r="C26" s="14" t="s">
        <v>349</v>
      </c>
      <c r="D26" s="13" t="s">
        <v>364</v>
      </c>
      <c r="E26" s="13" t="s">
        <v>365</v>
      </c>
      <c r="F26" s="14" t="s">
        <v>366</v>
      </c>
      <c r="G26" s="13">
        <v>46079.448238541663</v>
      </c>
      <c r="H26" s="14" t="s">
        <v>289</v>
      </c>
      <c r="I26" s="13" t="s">
        <v>367</v>
      </c>
      <c r="J26" s="14" t="s">
        <v>368</v>
      </c>
      <c r="K26" s="14" t="s">
        <v>369</v>
      </c>
      <c r="L26" s="14" t="s">
        <v>370</v>
      </c>
      <c r="M26" s="14" t="s">
        <v>371</v>
      </c>
      <c r="N26" s="14" t="s">
        <v>201</v>
      </c>
      <c r="O26" s="14" t="s">
        <v>372</v>
      </c>
      <c r="P26" s="14" t="str">
        <f>Table1[[#This Row],[Business Benefits / Impact]]</f>
        <v>• Differentiates service offering: Customers expect basic scanning; AI-driven prioritization is a premium feature
• Justifies higher pricing: Customers pay 20–35% more for intelligent remediation guidance
• Reduces customer risk: Prioritized remediation focus improves security posture measurably
• Minimizes liability: AI audit trails document why vulnerabilities were prioritized, supporting regulatory compliance</v>
      </c>
      <c r="Q26" s="13" t="s">
        <v>359</v>
      </c>
      <c r="R26" s="13"/>
      <c r="S26" s="22" t="s">
        <v>0</v>
      </c>
      <c r="T26" s="22" t="s">
        <v>10</v>
      </c>
      <c r="U26" s="22" t="s">
        <v>373</v>
      </c>
      <c r="V26" s="22" t="s">
        <v>359</v>
      </c>
      <c r="W26" s="99" t="s">
        <v>2</v>
      </c>
      <c r="X26" s="99" t="s">
        <v>3</v>
      </c>
      <c r="Y26" s="59" t="s">
        <v>374</v>
      </c>
      <c r="Z26" s="59" t="s">
        <v>375</v>
      </c>
      <c r="AA26" s="59" t="s">
        <v>376</v>
      </c>
      <c r="AB26" s="22"/>
      <c r="AC26" s="22"/>
      <c r="AD26" s="22"/>
      <c r="AE26" s="22"/>
      <c r="AF26" s="121" t="s">
        <v>2</v>
      </c>
      <c r="AG26" s="121" t="s">
        <v>3</v>
      </c>
      <c r="AH26" s="103" t="s">
        <v>107</v>
      </c>
      <c r="AI26" s="1" t="e">
        <f>Table1[[#This Row],[Efforts with out AI ]]-Table1[[#This Row],[Efforts with AI]]</f>
        <v>#VALUE!</v>
      </c>
      <c r="AJ26" s="2"/>
    </row>
    <row r="27" spans="1:36" ht="245.25">
      <c r="A27" s="12">
        <f>ROW() - ROW(Table1[[#Headers],[S.No.]])</f>
        <v>26</v>
      </c>
      <c r="B27" s="13" t="s">
        <v>46</v>
      </c>
      <c r="C27" s="14" t="s">
        <v>349</v>
      </c>
      <c r="D27" s="43" t="s">
        <v>377</v>
      </c>
      <c r="E27" s="13" t="s">
        <v>378</v>
      </c>
      <c r="F27" s="14" t="s">
        <v>379</v>
      </c>
      <c r="G27" s="43">
        <v>46079.448238541663</v>
      </c>
      <c r="H27" s="14" t="s">
        <v>289</v>
      </c>
      <c r="I27" s="13" t="s">
        <v>367</v>
      </c>
      <c r="J27" s="14" t="s">
        <v>380</v>
      </c>
      <c r="K27" s="14" t="s">
        <v>381</v>
      </c>
      <c r="L27" s="14" t="s">
        <v>382</v>
      </c>
      <c r="M27" s="14" t="s">
        <v>383</v>
      </c>
      <c r="N27" s="14" t="s">
        <v>201</v>
      </c>
      <c r="O27" s="14" t="s">
        <v>384</v>
      </c>
      <c r="P27" s="14" t="str">
        <f>Table1[[#This Row],[Business Benefits / Impact]]</f>
        <v>• Addresses massive market pain: Compliance prep consumes 30–40% of internal security team time; customers pay premium to offload it
• High-margin recurring revenue: Compliance-as-a-Service contracts can achieve 70–80% gross margins once automated
• Sticky customer relationships: Compliance data residency creates high switching costs, dramatically improving net revenue retention
• Multi-framework leverage: AI maps controls once; re-uses evidence across  NCA, PDPL, SAMA CSF and CST CRF, ISO 27001,PCI-DSS  simultaneously, multiplying efficiency</v>
      </c>
      <c r="Q27" s="13" t="s">
        <v>359</v>
      </c>
      <c r="R27" s="13"/>
      <c r="S27" s="22" t="s">
        <v>5</v>
      </c>
      <c r="T27" s="22" t="s">
        <v>10</v>
      </c>
      <c r="U27" s="44" t="s">
        <v>385</v>
      </c>
      <c r="V27" s="22" t="s">
        <v>359</v>
      </c>
      <c r="W27" s="96" t="s">
        <v>2</v>
      </c>
      <c r="X27" s="96" t="s">
        <v>3</v>
      </c>
      <c r="Y27" s="75" t="s">
        <v>232</v>
      </c>
      <c r="Z27" s="75" t="s">
        <v>233</v>
      </c>
      <c r="AA27" s="75" t="s">
        <v>250</v>
      </c>
      <c r="AB27" s="22"/>
      <c r="AC27" s="22"/>
      <c r="AD27" s="22"/>
      <c r="AE27" s="22"/>
      <c r="AF27" s="57" t="s">
        <v>7</v>
      </c>
      <c r="AG27" s="57" t="s">
        <v>235</v>
      </c>
      <c r="AH27" s="103" t="s">
        <v>107</v>
      </c>
      <c r="AI27" s="1" t="e">
        <f>Table1[[#This Row],[Efforts with out AI ]]-Table1[[#This Row],[Efforts with AI]]</f>
        <v>#VALUE!</v>
      </c>
      <c r="AJ27" s="2"/>
    </row>
    <row r="28" spans="1:36" ht="409.6">
      <c r="A28" s="27">
        <f>ROW() - ROW(Table1[[#Headers],[S.No.]])</f>
        <v>27</v>
      </c>
      <c r="B28" s="13" t="s">
        <v>46</v>
      </c>
      <c r="C28" s="14" t="s">
        <v>349</v>
      </c>
      <c r="D28" s="13" t="s">
        <v>386</v>
      </c>
      <c r="E28" s="13" t="s">
        <v>387</v>
      </c>
      <c r="F28" s="14" t="s">
        <v>388</v>
      </c>
      <c r="G28" s="13">
        <v>46079.448238541663</v>
      </c>
      <c r="H28" s="14" t="s">
        <v>201</v>
      </c>
      <c r="I28" s="13" t="s">
        <v>389</v>
      </c>
      <c r="J28" s="14" t="s">
        <v>390</v>
      </c>
      <c r="K28" s="14" t="s">
        <v>391</v>
      </c>
      <c r="L28" s="14" t="s">
        <v>392</v>
      </c>
      <c r="M28" s="14" t="s">
        <v>393</v>
      </c>
      <c r="N28" s="14"/>
      <c r="O28" s="14" t="s">
        <v>394</v>
      </c>
      <c r="P28" s="14" t="str">
        <f>Table1[[#This Row],[Business Benefits / Impact]]</f>
        <v>• Opens new market segment: Small to mid-market (SMB) companies lack dedicated compliance teams and are willing to outsource policy creation
• Recurring revenue opportunity: Quarterly/Annually policy reviews and updates based on regulatory changes, law changes, or risk shifts create subscription-like revenue model (SAR 5K–SAR 15K per update)
• Scales with minimal effort: After initial customer context gathering, AI generates customized framework in days; human review &amp; iteration in weeks instead of months
• Improves quality &amp; consistency: LLM-generated policies are grounded in regulatory text, reducing legal gaps and ensuring alignment with latest standards
• Reduces liability: AI-generated policies cite specific regulatory sources, creating transparent audit trail that satisfies auditors and regulators</v>
      </c>
      <c r="Q28" s="13" t="s">
        <v>359</v>
      </c>
      <c r="R28" s="13"/>
      <c r="S28" s="22" t="s">
        <v>5</v>
      </c>
      <c r="T28" s="22" t="s">
        <v>10</v>
      </c>
      <c r="U28" s="22" t="s">
        <v>395</v>
      </c>
      <c r="V28" s="22" t="s">
        <v>359</v>
      </c>
      <c r="W28" s="99" t="s">
        <v>2</v>
      </c>
      <c r="X28" s="99" t="s">
        <v>3</v>
      </c>
      <c r="Y28" s="59" t="s">
        <v>232</v>
      </c>
      <c r="Z28" s="59" t="s">
        <v>233</v>
      </c>
      <c r="AA28" s="59" t="s">
        <v>250</v>
      </c>
      <c r="AB28" s="22"/>
      <c r="AC28" s="22"/>
      <c r="AD28" s="22"/>
      <c r="AE28" s="22"/>
      <c r="AF28" s="57" t="s">
        <v>7</v>
      </c>
      <c r="AG28" s="57" t="s">
        <v>235</v>
      </c>
      <c r="AH28" s="103" t="s">
        <v>107</v>
      </c>
      <c r="AI28" s="1" t="e">
        <f>Table1[[#This Row],[Efforts with out AI ]]-Table1[[#This Row],[Efforts with AI]]</f>
        <v>#VALUE!</v>
      </c>
      <c r="AJ28" s="2"/>
    </row>
    <row r="29" spans="1:36" ht="159">
      <c r="A29" s="12">
        <f>ROW() - ROW(Table1[[#Headers],[S.No.]])</f>
        <v>28</v>
      </c>
      <c r="B29" s="13" t="s">
        <v>47</v>
      </c>
      <c r="C29" s="14"/>
      <c r="D29" s="43" t="s">
        <v>396</v>
      </c>
      <c r="E29" s="13" t="s">
        <v>397</v>
      </c>
      <c r="F29" s="14" t="s">
        <v>398</v>
      </c>
      <c r="G29" s="43">
        <v>46048</v>
      </c>
      <c r="H29" s="14" t="s">
        <v>92</v>
      </c>
      <c r="I29" s="13" t="s">
        <v>399</v>
      </c>
      <c r="J29" s="14" t="s">
        <v>400</v>
      </c>
      <c r="K29" s="14" t="s">
        <v>401</v>
      </c>
      <c r="L29" s="14" t="s">
        <v>402</v>
      </c>
      <c r="M29" s="14" t="s">
        <v>403</v>
      </c>
      <c r="N29" s="14">
        <v>3</v>
      </c>
      <c r="O29" s="14" t="s">
        <v>404</v>
      </c>
      <c r="P29" s="14"/>
      <c r="Q29" s="14" t="s">
        <v>405</v>
      </c>
      <c r="R29" s="14"/>
      <c r="S29" s="22" t="s">
        <v>5</v>
      </c>
      <c r="T29" s="22" t="s">
        <v>1</v>
      </c>
      <c r="U29" s="123" t="s">
        <v>406</v>
      </c>
      <c r="V29" s="22" t="s">
        <v>407</v>
      </c>
      <c r="W29" s="162" t="s">
        <v>41</v>
      </c>
      <c r="X29" s="162" t="s">
        <v>408</v>
      </c>
      <c r="Y29" s="127" t="s">
        <v>409</v>
      </c>
      <c r="Z29" s="127" t="s">
        <v>410</v>
      </c>
      <c r="AA29" s="127" t="s">
        <v>411</v>
      </c>
      <c r="AB29" s="163" t="s">
        <v>412</v>
      </c>
      <c r="AC29" s="163" t="s">
        <v>413</v>
      </c>
      <c r="AD29" s="163" t="s">
        <v>414</v>
      </c>
      <c r="AE29" s="163" t="s">
        <v>413</v>
      </c>
      <c r="AF29" s="136" t="s">
        <v>11</v>
      </c>
      <c r="AG29" s="100" t="s">
        <v>415</v>
      </c>
      <c r="AH29" s="103" t="s">
        <v>107</v>
      </c>
      <c r="AI29" s="1" t="e">
        <f>Table1[[#This Row],[Efforts with out AI ]]-Table1[[#This Row],[Efforts with AI]]</f>
        <v>#VALUE!</v>
      </c>
      <c r="AJ29" s="2"/>
    </row>
    <row r="30" spans="1:36" ht="130.5">
      <c r="A30" s="12">
        <f>ROW() - ROW(Table1[[#Headers],[S.No.]])</f>
        <v>29</v>
      </c>
      <c r="B30" s="13" t="s">
        <v>47</v>
      </c>
      <c r="C30" s="14"/>
      <c r="D30" s="13" t="s">
        <v>416</v>
      </c>
      <c r="E30" s="13" t="s">
        <v>417</v>
      </c>
      <c r="F30" s="14" t="s">
        <v>418</v>
      </c>
      <c r="G30" s="13">
        <v>46048</v>
      </c>
      <c r="H30" s="14" t="s">
        <v>92</v>
      </c>
      <c r="I30" s="13" t="s">
        <v>419</v>
      </c>
      <c r="J30" s="14" t="s">
        <v>420</v>
      </c>
      <c r="K30" s="14" t="s">
        <v>421</v>
      </c>
      <c r="L30" s="14" t="s">
        <v>422</v>
      </c>
      <c r="M30" s="14" t="s">
        <v>423</v>
      </c>
      <c r="N30" s="14">
        <v>10</v>
      </c>
      <c r="O30" s="14" t="s">
        <v>424</v>
      </c>
      <c r="P30" s="14"/>
      <c r="Q30" s="14" t="s">
        <v>425</v>
      </c>
      <c r="R30" s="14"/>
      <c r="S30" s="22" t="s">
        <v>5</v>
      </c>
      <c r="T30" s="22" t="s">
        <v>1</v>
      </c>
      <c r="U30" s="22" t="s">
        <v>406</v>
      </c>
      <c r="V30" s="22" t="s">
        <v>407</v>
      </c>
      <c r="W30" s="164" t="s">
        <v>7</v>
      </c>
      <c r="X30" s="164" t="s">
        <v>426</v>
      </c>
      <c r="Y30" s="143" t="s">
        <v>427</v>
      </c>
      <c r="Z30" s="143" t="s">
        <v>428</v>
      </c>
      <c r="AA30" s="143" t="s">
        <v>429</v>
      </c>
      <c r="AB30" s="165" t="s">
        <v>412</v>
      </c>
      <c r="AC30" s="165" t="s">
        <v>413</v>
      </c>
      <c r="AD30" s="165" t="s">
        <v>414</v>
      </c>
      <c r="AE30" s="165" t="s">
        <v>413</v>
      </c>
      <c r="AF30" s="136" t="s">
        <v>11</v>
      </c>
      <c r="AG30" s="100" t="s">
        <v>430</v>
      </c>
      <c r="AH30" s="103" t="s">
        <v>107</v>
      </c>
      <c r="AI30" s="1" t="e">
        <f>Table1[[#This Row],[Efforts with out AI ]]-Table1[[#This Row],[Efforts with AI]]</f>
        <v>#VALUE!</v>
      </c>
      <c r="AJ30" s="2"/>
    </row>
    <row r="31" spans="1:36" ht="144.75">
      <c r="A31" s="12">
        <f>ROW() - ROW(Table1[[#Headers],[S.No.]])</f>
        <v>30</v>
      </c>
      <c r="B31" s="13" t="s">
        <v>47</v>
      </c>
      <c r="C31" s="14"/>
      <c r="D31" s="43" t="s">
        <v>431</v>
      </c>
      <c r="E31" s="13" t="s">
        <v>432</v>
      </c>
      <c r="F31" s="14" t="s">
        <v>433</v>
      </c>
      <c r="G31" s="43">
        <v>46048</v>
      </c>
      <c r="H31" s="14" t="s">
        <v>92</v>
      </c>
      <c r="I31" s="13" t="s">
        <v>128</v>
      </c>
      <c r="J31" s="14" t="s">
        <v>434</v>
      </c>
      <c r="K31" s="14" t="s">
        <v>435</v>
      </c>
      <c r="L31" s="14" t="s">
        <v>422</v>
      </c>
      <c r="M31" s="14" t="s">
        <v>436</v>
      </c>
      <c r="N31" s="14">
        <v>10</v>
      </c>
      <c r="O31" s="14" t="s">
        <v>437</v>
      </c>
      <c r="P31" s="14"/>
      <c r="Q31" s="14" t="s">
        <v>438</v>
      </c>
      <c r="R31" s="14"/>
      <c r="S31" s="22" t="s">
        <v>5</v>
      </c>
      <c r="T31" s="22" t="s">
        <v>1</v>
      </c>
      <c r="U31" s="123" t="s">
        <v>406</v>
      </c>
      <c r="V31" s="22" t="s">
        <v>407</v>
      </c>
      <c r="W31" s="164" t="s">
        <v>7</v>
      </c>
      <c r="X31" s="164" t="s">
        <v>439</v>
      </c>
      <c r="Y31" s="145" t="s">
        <v>440</v>
      </c>
      <c r="Z31" s="145" t="s">
        <v>441</v>
      </c>
      <c r="AA31" s="145" t="s">
        <v>442</v>
      </c>
      <c r="AB31" s="165" t="s">
        <v>443</v>
      </c>
      <c r="AC31" s="165" t="s">
        <v>413</v>
      </c>
      <c r="AD31" s="165" t="s">
        <v>414</v>
      </c>
      <c r="AE31" s="165" t="s">
        <v>413</v>
      </c>
      <c r="AF31" s="136" t="s">
        <v>11</v>
      </c>
      <c r="AG31" s="100" t="s">
        <v>444</v>
      </c>
      <c r="AH31" s="103" t="s">
        <v>107</v>
      </c>
      <c r="AI31" s="1" t="e">
        <f>Table1[[#This Row],[Efforts with out AI ]]-Table1[[#This Row],[Efforts with AI]]</f>
        <v>#VALUE!</v>
      </c>
      <c r="AJ31" s="2"/>
    </row>
    <row r="32" spans="1:36" ht="57.75">
      <c r="A32" s="27">
        <f>ROW() - ROW(Table1[[#Headers],[S.No.]])</f>
        <v>31</v>
      </c>
      <c r="B32" s="13" t="s">
        <v>47</v>
      </c>
      <c r="C32" s="14"/>
      <c r="D32" s="13" t="s">
        <v>445</v>
      </c>
      <c r="E32" s="13" t="s">
        <v>446</v>
      </c>
      <c r="F32" s="14" t="s">
        <v>447</v>
      </c>
      <c r="G32" s="13">
        <v>46048</v>
      </c>
      <c r="H32" s="14" t="s">
        <v>112</v>
      </c>
      <c r="I32" s="13" t="s">
        <v>128</v>
      </c>
      <c r="J32" s="14" t="s">
        <v>448</v>
      </c>
      <c r="K32" s="14" t="s">
        <v>449</v>
      </c>
      <c r="L32" s="14" t="s">
        <v>450</v>
      </c>
      <c r="M32" s="14" t="s">
        <v>451</v>
      </c>
      <c r="N32" s="14">
        <v>3</v>
      </c>
      <c r="O32" s="14" t="s">
        <v>452</v>
      </c>
      <c r="P32" s="14"/>
      <c r="Q32" s="13" t="s">
        <v>453</v>
      </c>
      <c r="R32" s="13"/>
      <c r="S32" s="22" t="s">
        <v>5</v>
      </c>
      <c r="T32" s="22" t="s">
        <v>1</v>
      </c>
      <c r="U32" s="22" t="s">
        <v>406</v>
      </c>
      <c r="V32" s="22" t="s">
        <v>407</v>
      </c>
      <c r="W32" s="99" t="s">
        <v>2</v>
      </c>
      <c r="X32" s="99" t="s">
        <v>14</v>
      </c>
      <c r="Y32" s="59" t="s">
        <v>454</v>
      </c>
      <c r="Z32" s="59" t="s">
        <v>233</v>
      </c>
      <c r="AA32" s="59" t="s">
        <v>331</v>
      </c>
      <c r="AB32" s="22" t="s">
        <v>455</v>
      </c>
      <c r="AC32" s="22"/>
      <c r="AD32" s="22" t="s">
        <v>414</v>
      </c>
      <c r="AE32" s="22"/>
      <c r="AF32" s="57" t="s">
        <v>7</v>
      </c>
      <c r="AG32" s="57" t="s">
        <v>235</v>
      </c>
      <c r="AH32" s="103" t="s">
        <v>107</v>
      </c>
      <c r="AI32" s="1" t="e">
        <f>Table1[[#This Row],[Efforts with out AI ]]-Table1[[#This Row],[Efforts with AI]]</f>
        <v>#VALUE!</v>
      </c>
      <c r="AJ32" s="2"/>
    </row>
    <row r="33" spans="1:37" ht="57.75">
      <c r="A33" s="12">
        <f>ROW() - ROW(Table1[[#Headers],[S.No.]])</f>
        <v>32</v>
      </c>
      <c r="B33" s="13" t="s">
        <v>47</v>
      </c>
      <c r="C33" s="14"/>
      <c r="D33" s="43" t="s">
        <v>456</v>
      </c>
      <c r="E33" s="13" t="s">
        <v>457</v>
      </c>
      <c r="F33" s="14" t="s">
        <v>458</v>
      </c>
      <c r="G33" s="43">
        <v>46048</v>
      </c>
      <c r="H33" s="14" t="s">
        <v>92</v>
      </c>
      <c r="I33" s="13" t="s">
        <v>399</v>
      </c>
      <c r="J33" s="14" t="s">
        <v>459</v>
      </c>
      <c r="K33" s="14" t="s">
        <v>460</v>
      </c>
      <c r="L33" s="14" t="s">
        <v>461</v>
      </c>
      <c r="M33" s="14" t="s">
        <v>462</v>
      </c>
      <c r="N33" s="14">
        <v>3</v>
      </c>
      <c r="O33" s="14" t="s">
        <v>463</v>
      </c>
      <c r="P33" s="14"/>
      <c r="Q33" s="13" t="s">
        <v>464</v>
      </c>
      <c r="R33" s="13"/>
      <c r="S33" s="22" t="s">
        <v>5</v>
      </c>
      <c r="T33" s="22" t="s">
        <v>1</v>
      </c>
      <c r="U33" s="44" t="s">
        <v>406</v>
      </c>
      <c r="V33" s="22" t="s">
        <v>407</v>
      </c>
      <c r="W33" s="96" t="s">
        <v>2</v>
      </c>
      <c r="X33" s="96" t="s">
        <v>14</v>
      </c>
      <c r="Y33" s="75" t="s">
        <v>454</v>
      </c>
      <c r="Z33" s="75" t="s">
        <v>233</v>
      </c>
      <c r="AA33" s="75" t="s">
        <v>331</v>
      </c>
      <c r="AB33" s="22" t="s">
        <v>465</v>
      </c>
      <c r="AC33" s="22"/>
      <c r="AD33" s="22" t="s">
        <v>414</v>
      </c>
      <c r="AE33" s="22"/>
      <c r="AF33" s="57" t="s">
        <v>7</v>
      </c>
      <c r="AG33" s="57" t="s">
        <v>235</v>
      </c>
      <c r="AH33" s="103" t="s">
        <v>107</v>
      </c>
      <c r="AI33" s="1" t="e">
        <f>Table1[[#This Row],[Efforts with out AI ]]-Table1[[#This Row],[Efforts with AI]]</f>
        <v>#VALUE!</v>
      </c>
      <c r="AJ33" s="2"/>
    </row>
    <row r="34" spans="1:37" ht="130.5">
      <c r="A34" s="12">
        <f>ROW() - ROW(Table1[[#Headers],[S.No.]])</f>
        <v>33</v>
      </c>
      <c r="B34" s="13" t="s">
        <v>47</v>
      </c>
      <c r="C34" s="14"/>
      <c r="D34" s="13" t="s">
        <v>466</v>
      </c>
      <c r="E34" s="13" t="s">
        <v>467</v>
      </c>
      <c r="F34" s="14" t="s">
        <v>468</v>
      </c>
      <c r="G34" s="13">
        <v>46048</v>
      </c>
      <c r="H34" s="14" t="s">
        <v>92</v>
      </c>
      <c r="I34" s="13" t="s">
        <v>128</v>
      </c>
      <c r="J34" s="14" t="s">
        <v>469</v>
      </c>
      <c r="K34" s="14" t="s">
        <v>401</v>
      </c>
      <c r="L34" s="14" t="s">
        <v>402</v>
      </c>
      <c r="M34" s="14" t="s">
        <v>470</v>
      </c>
      <c r="N34" s="14">
        <v>5</v>
      </c>
      <c r="O34" s="14" t="s">
        <v>471</v>
      </c>
      <c r="P34" s="14"/>
      <c r="Q34" s="14" t="s">
        <v>407</v>
      </c>
      <c r="R34" s="14"/>
      <c r="S34" s="22" t="s">
        <v>5</v>
      </c>
      <c r="T34" s="22" t="s">
        <v>1</v>
      </c>
      <c r="U34" s="22" t="s">
        <v>406</v>
      </c>
      <c r="V34" s="22" t="s">
        <v>407</v>
      </c>
      <c r="W34" s="164" t="s">
        <v>7</v>
      </c>
      <c r="X34" s="164" t="s">
        <v>472</v>
      </c>
      <c r="Y34" s="130" t="s">
        <v>473</v>
      </c>
      <c r="Z34" s="130" t="s">
        <v>474</v>
      </c>
      <c r="AA34" s="130" t="s">
        <v>475</v>
      </c>
      <c r="AB34" s="163" t="s">
        <v>476</v>
      </c>
      <c r="AC34" s="163" t="s">
        <v>413</v>
      </c>
      <c r="AD34" s="163" t="s">
        <v>414</v>
      </c>
      <c r="AE34" s="163" t="s">
        <v>413</v>
      </c>
      <c r="AF34" s="136" t="s">
        <v>11</v>
      </c>
      <c r="AG34" s="100" t="s">
        <v>477</v>
      </c>
      <c r="AH34" s="103" t="s">
        <v>107</v>
      </c>
      <c r="AI34" s="1" t="e">
        <f>Table1[[#This Row],[Efforts with out AI ]]-Table1[[#This Row],[Efforts with AI]]</f>
        <v>#VALUE!</v>
      </c>
      <c r="AJ34" s="2"/>
    </row>
    <row r="35" spans="1:37" ht="57.75">
      <c r="A35" s="12">
        <f>ROW() - ROW(Table1[[#Headers],[S.No.]])</f>
        <v>34</v>
      </c>
      <c r="B35" s="13" t="s">
        <v>47</v>
      </c>
      <c r="C35" s="14"/>
      <c r="D35" s="43" t="s">
        <v>478</v>
      </c>
      <c r="E35" s="13" t="s">
        <v>479</v>
      </c>
      <c r="F35" s="14" t="s">
        <v>480</v>
      </c>
      <c r="G35" s="43" t="s">
        <v>481</v>
      </c>
      <c r="H35" s="14" t="s">
        <v>482</v>
      </c>
      <c r="I35" s="13" t="s">
        <v>483</v>
      </c>
      <c r="J35" s="14" t="s">
        <v>484</v>
      </c>
      <c r="K35" s="14" t="s">
        <v>485</v>
      </c>
      <c r="L35" s="14" t="s">
        <v>486</v>
      </c>
      <c r="M35" s="14" t="s">
        <v>487</v>
      </c>
      <c r="N35" s="14" t="s">
        <v>481</v>
      </c>
      <c r="O35" s="14" t="s">
        <v>488</v>
      </c>
      <c r="P35" s="14" t="s">
        <v>489</v>
      </c>
      <c r="Q35" s="13" t="s">
        <v>490</v>
      </c>
      <c r="R35" s="13" t="s">
        <v>491</v>
      </c>
      <c r="S35" s="22"/>
      <c r="T35" s="22" t="s">
        <v>10</v>
      </c>
      <c r="U35" s="44"/>
      <c r="V35" s="22" t="s">
        <v>407</v>
      </c>
      <c r="W35" s="96" t="s">
        <v>2</v>
      </c>
      <c r="X35" s="96" t="s">
        <v>3</v>
      </c>
      <c r="Y35" s="75" t="s">
        <v>232</v>
      </c>
      <c r="Z35" s="75" t="s">
        <v>233</v>
      </c>
      <c r="AA35" s="75" t="s">
        <v>331</v>
      </c>
      <c r="AB35" s="22" t="s">
        <v>492</v>
      </c>
      <c r="AC35" s="22"/>
      <c r="AD35" s="22" t="s">
        <v>493</v>
      </c>
      <c r="AE35" s="22"/>
      <c r="AF35" s="57" t="s">
        <v>7</v>
      </c>
      <c r="AG35" s="57" t="s">
        <v>235</v>
      </c>
      <c r="AH35" s="103" t="s">
        <v>107</v>
      </c>
      <c r="AI35" s="1" t="e">
        <f>Table1[[#This Row],[Efforts with out AI ]]-Table1[[#This Row],[Efforts with AI]]</f>
        <v>#VALUE!</v>
      </c>
      <c r="AJ35" s="2"/>
    </row>
    <row r="36" spans="1:37" ht="101.25">
      <c r="A36" s="27">
        <f>ROW() - ROW(Table1[[#Headers],[S.No.]])</f>
        <v>35</v>
      </c>
      <c r="B36" s="13" t="s">
        <v>47</v>
      </c>
      <c r="C36" s="14"/>
      <c r="D36" s="13" t="s">
        <v>494</v>
      </c>
      <c r="E36" s="13" t="s">
        <v>495</v>
      </c>
      <c r="F36" s="14" t="s">
        <v>496</v>
      </c>
      <c r="G36" s="13" t="s">
        <v>481</v>
      </c>
      <c r="H36" s="14" t="s">
        <v>289</v>
      </c>
      <c r="I36" s="13" t="s">
        <v>497</v>
      </c>
      <c r="J36" s="14" t="s">
        <v>498</v>
      </c>
      <c r="K36" s="14" t="s">
        <v>499</v>
      </c>
      <c r="L36" s="14" t="s">
        <v>500</v>
      </c>
      <c r="M36" s="14" t="s">
        <v>501</v>
      </c>
      <c r="N36" s="14" t="s">
        <v>481</v>
      </c>
      <c r="O36" s="14" t="s">
        <v>502</v>
      </c>
      <c r="P36" s="14" t="s">
        <v>503</v>
      </c>
      <c r="Q36" s="13" t="s">
        <v>504</v>
      </c>
      <c r="R36" s="13" t="s">
        <v>505</v>
      </c>
      <c r="S36" s="22" t="s">
        <v>0</v>
      </c>
      <c r="T36" s="22" t="s">
        <v>10</v>
      </c>
      <c r="U36" s="22" t="s">
        <v>188</v>
      </c>
      <c r="V36" s="22" t="s">
        <v>407</v>
      </c>
      <c r="W36" s="99" t="s">
        <v>2</v>
      </c>
      <c r="X36" s="99" t="s">
        <v>3</v>
      </c>
      <c r="Y36" s="59" t="s">
        <v>506</v>
      </c>
      <c r="Z36" s="59" t="s">
        <v>507</v>
      </c>
      <c r="AA36" s="59" t="s">
        <v>508</v>
      </c>
      <c r="AB36" s="22" t="s">
        <v>509</v>
      </c>
      <c r="AC36" s="22"/>
      <c r="AD36" s="22" t="s">
        <v>493</v>
      </c>
      <c r="AE36" s="22"/>
      <c r="AF36" s="121" t="s">
        <v>2</v>
      </c>
      <c r="AG36" s="121" t="s">
        <v>3</v>
      </c>
      <c r="AH36" s="103" t="s">
        <v>107</v>
      </c>
      <c r="AI36" s="1" t="e">
        <f>Table1[[#This Row],[Efforts with out AI ]]-Table1[[#This Row],[Efforts with AI]]</f>
        <v>#VALUE!</v>
      </c>
      <c r="AJ36" s="2"/>
    </row>
    <row r="37" spans="1:37" ht="57.75">
      <c r="A37" s="12">
        <f>ROW() - ROW(Table1[[#Headers],[S.No.]])</f>
        <v>36</v>
      </c>
      <c r="B37" s="13" t="s">
        <v>47</v>
      </c>
      <c r="C37" s="14"/>
      <c r="D37" s="43" t="s">
        <v>510</v>
      </c>
      <c r="E37" s="13" t="s">
        <v>511</v>
      </c>
      <c r="F37" s="14" t="s">
        <v>512</v>
      </c>
      <c r="G37" s="43" t="s">
        <v>481</v>
      </c>
      <c r="H37" s="14" t="s">
        <v>289</v>
      </c>
      <c r="I37" s="13" t="s">
        <v>513</v>
      </c>
      <c r="J37" s="14" t="s">
        <v>514</v>
      </c>
      <c r="K37" s="14" t="s">
        <v>515</v>
      </c>
      <c r="L37" s="14" t="s">
        <v>516</v>
      </c>
      <c r="M37" s="14" t="s">
        <v>517</v>
      </c>
      <c r="N37" s="14" t="s">
        <v>481</v>
      </c>
      <c r="O37" s="14" t="s">
        <v>518</v>
      </c>
      <c r="P37" s="14" t="s">
        <v>519</v>
      </c>
      <c r="Q37" s="13" t="s">
        <v>520</v>
      </c>
      <c r="R37" s="13" t="s">
        <v>521</v>
      </c>
      <c r="S37" s="22"/>
      <c r="T37" s="22"/>
      <c r="U37" s="44"/>
      <c r="V37" s="22" t="s">
        <v>407</v>
      </c>
      <c r="W37" s="96" t="s">
        <v>2</v>
      </c>
      <c r="X37" s="96" t="s">
        <v>3</v>
      </c>
      <c r="Y37" s="75" t="s">
        <v>232</v>
      </c>
      <c r="Z37" s="75" t="s">
        <v>233</v>
      </c>
      <c r="AA37" s="75" t="s">
        <v>234</v>
      </c>
      <c r="AB37" s="22" t="s">
        <v>213</v>
      </c>
      <c r="AC37" s="22"/>
      <c r="AD37" s="22" t="s">
        <v>493</v>
      </c>
      <c r="AE37" s="22"/>
      <c r="AF37" s="57" t="s">
        <v>7</v>
      </c>
      <c r="AG37" s="57" t="s">
        <v>235</v>
      </c>
      <c r="AH37" s="103" t="s">
        <v>107</v>
      </c>
      <c r="AI37" s="1" t="e">
        <f>Table1[[#This Row],[Efforts with out AI ]]-Table1[[#This Row],[Efforts with AI]]</f>
        <v>#VALUE!</v>
      </c>
      <c r="AJ37" s="2"/>
    </row>
    <row r="38" spans="1:37" ht="87">
      <c r="A38" s="12">
        <f>ROW() - ROW(Table1[[#Headers],[S.No.]])</f>
        <v>37</v>
      </c>
      <c r="B38" s="13" t="s">
        <v>47</v>
      </c>
      <c r="C38" s="14"/>
      <c r="D38" s="13" t="s">
        <v>522</v>
      </c>
      <c r="E38" s="13" t="s">
        <v>523</v>
      </c>
      <c r="F38" s="14" t="s">
        <v>524</v>
      </c>
      <c r="G38" s="13" t="s">
        <v>481</v>
      </c>
      <c r="H38" s="14" t="s">
        <v>92</v>
      </c>
      <c r="I38" s="13" t="s">
        <v>399</v>
      </c>
      <c r="J38" s="14" t="s">
        <v>525</v>
      </c>
      <c r="K38" s="14" t="s">
        <v>526</v>
      </c>
      <c r="L38" s="14" t="s">
        <v>527</v>
      </c>
      <c r="M38" s="14" t="s">
        <v>528</v>
      </c>
      <c r="N38" s="14" t="s">
        <v>481</v>
      </c>
      <c r="O38" s="14" t="s">
        <v>529</v>
      </c>
      <c r="P38" s="14" t="s">
        <v>530</v>
      </c>
      <c r="Q38" s="13" t="s">
        <v>531</v>
      </c>
      <c r="R38" s="13" t="s">
        <v>532</v>
      </c>
      <c r="S38" s="22" t="s">
        <v>0</v>
      </c>
      <c r="T38" s="22" t="s">
        <v>10</v>
      </c>
      <c r="U38" s="22" t="s">
        <v>188</v>
      </c>
      <c r="V38" s="22" t="s">
        <v>407</v>
      </c>
      <c r="W38" s="99" t="s">
        <v>2</v>
      </c>
      <c r="X38" s="99" t="s">
        <v>3</v>
      </c>
      <c r="Y38" s="59" t="s">
        <v>533</v>
      </c>
      <c r="Z38" s="59" t="s">
        <v>534</v>
      </c>
      <c r="AA38" s="59" t="s">
        <v>535</v>
      </c>
      <c r="AB38" s="22" t="s">
        <v>412</v>
      </c>
      <c r="AC38" s="22"/>
      <c r="AD38" s="22" t="s">
        <v>536</v>
      </c>
      <c r="AE38" s="22"/>
      <c r="AF38" s="121" t="s">
        <v>2</v>
      </c>
      <c r="AG38" s="121" t="s">
        <v>3</v>
      </c>
      <c r="AH38" s="103" t="s">
        <v>107</v>
      </c>
      <c r="AI38" s="1" t="e">
        <f>Table1[[#This Row],[Efforts with out AI ]]-Table1[[#This Row],[Efforts with AI]]</f>
        <v>#VALUE!</v>
      </c>
      <c r="AJ38" s="2"/>
    </row>
    <row r="39" spans="1:37" ht="72.75">
      <c r="A39" s="12">
        <f>ROW() - ROW(Table1[[#Headers],[S.No.]])</f>
        <v>38</v>
      </c>
      <c r="B39" s="13" t="s">
        <v>47</v>
      </c>
      <c r="C39" s="14"/>
      <c r="D39" s="43" t="s">
        <v>537</v>
      </c>
      <c r="E39" s="13" t="s">
        <v>538</v>
      </c>
      <c r="F39" s="14" t="s">
        <v>539</v>
      </c>
      <c r="G39" s="43" t="s">
        <v>481</v>
      </c>
      <c r="H39" s="14" t="s">
        <v>540</v>
      </c>
      <c r="I39" s="13" t="s">
        <v>448</v>
      </c>
      <c r="J39" s="14" t="s">
        <v>541</v>
      </c>
      <c r="K39" s="14" t="s">
        <v>542</v>
      </c>
      <c r="L39" s="14" t="s">
        <v>543</v>
      </c>
      <c r="M39" s="14" t="s">
        <v>544</v>
      </c>
      <c r="N39" s="14" t="s">
        <v>481</v>
      </c>
      <c r="O39" s="14" t="s">
        <v>545</v>
      </c>
      <c r="P39" s="14" t="s">
        <v>546</v>
      </c>
      <c r="Q39" s="13" t="s">
        <v>547</v>
      </c>
      <c r="R39" s="13" t="s">
        <v>548</v>
      </c>
      <c r="S39" s="22"/>
      <c r="T39" s="22" t="s">
        <v>10</v>
      </c>
      <c r="U39" s="44"/>
      <c r="V39" s="22" t="s">
        <v>407</v>
      </c>
      <c r="W39" s="96" t="s">
        <v>2</v>
      </c>
      <c r="X39" s="96" t="s">
        <v>3</v>
      </c>
      <c r="Y39" s="75" t="s">
        <v>232</v>
      </c>
      <c r="Z39" s="75" t="s">
        <v>233</v>
      </c>
      <c r="AA39" s="75" t="s">
        <v>348</v>
      </c>
      <c r="AB39" s="22" t="s">
        <v>213</v>
      </c>
      <c r="AC39" s="22"/>
      <c r="AD39" s="22" t="s">
        <v>536</v>
      </c>
      <c r="AE39" s="22"/>
      <c r="AF39" s="57" t="s">
        <v>7</v>
      </c>
      <c r="AG39" s="57" t="s">
        <v>235</v>
      </c>
      <c r="AH39" s="103" t="s">
        <v>107</v>
      </c>
      <c r="AI39" s="1" t="e">
        <f>Table1[[#This Row],[Efforts with out AI ]]-Table1[[#This Row],[Efforts with AI]]</f>
        <v>#VALUE!</v>
      </c>
      <c r="AJ39" s="2"/>
    </row>
    <row r="40" spans="1:37" ht="87">
      <c r="A40" s="27">
        <f>ROW() - ROW(Table1[[#Headers],[S.No.]])</f>
        <v>39</v>
      </c>
      <c r="B40" s="13" t="s">
        <v>47</v>
      </c>
      <c r="C40" s="14"/>
      <c r="D40" s="13" t="s">
        <v>549</v>
      </c>
      <c r="E40" s="13" t="s">
        <v>550</v>
      </c>
      <c r="F40" s="14" t="s">
        <v>551</v>
      </c>
      <c r="G40" s="13" t="s">
        <v>481</v>
      </c>
      <c r="H40" s="14" t="s">
        <v>92</v>
      </c>
      <c r="I40" s="13" t="s">
        <v>552</v>
      </c>
      <c r="J40" s="14" t="s">
        <v>553</v>
      </c>
      <c r="K40" s="14" t="s">
        <v>554</v>
      </c>
      <c r="L40" s="14" t="s">
        <v>555</v>
      </c>
      <c r="M40" s="14" t="s">
        <v>556</v>
      </c>
      <c r="N40" s="14" t="s">
        <v>481</v>
      </c>
      <c r="O40" s="14" t="s">
        <v>557</v>
      </c>
      <c r="P40" s="14" t="s">
        <v>558</v>
      </c>
      <c r="Q40" s="13" t="s">
        <v>559</v>
      </c>
      <c r="R40" s="13" t="s">
        <v>560</v>
      </c>
      <c r="S40" s="22" t="s">
        <v>0</v>
      </c>
      <c r="T40" s="22" t="s">
        <v>10</v>
      </c>
      <c r="U40" s="22" t="s">
        <v>188</v>
      </c>
      <c r="V40" s="22" t="s">
        <v>407</v>
      </c>
      <c r="W40" s="99" t="s">
        <v>2</v>
      </c>
      <c r="X40" s="99" t="s">
        <v>3</v>
      </c>
      <c r="Y40" s="59" t="s">
        <v>561</v>
      </c>
      <c r="Z40" s="59" t="s">
        <v>562</v>
      </c>
      <c r="AA40" s="59" t="s">
        <v>563</v>
      </c>
      <c r="AB40" s="22" t="s">
        <v>509</v>
      </c>
      <c r="AC40" s="22"/>
      <c r="AD40" s="22" t="s">
        <v>493</v>
      </c>
      <c r="AE40" s="22"/>
      <c r="AF40" s="121" t="s">
        <v>2</v>
      </c>
      <c r="AG40" s="121" t="s">
        <v>3</v>
      </c>
      <c r="AH40" s="103" t="s">
        <v>107</v>
      </c>
      <c r="AI40" s="1" t="e">
        <f>Table1[[#This Row],[Efforts with out AI ]]-Table1[[#This Row],[Efforts with AI]]</f>
        <v>#VALUE!</v>
      </c>
      <c r="AJ40" s="2"/>
    </row>
    <row r="41" spans="1:37" ht="130.5">
      <c r="A41" s="12">
        <f>ROW() - ROW(Table1[[#Headers],[S.No.]])</f>
        <v>40</v>
      </c>
      <c r="B41" s="13" t="s">
        <v>47</v>
      </c>
      <c r="C41" s="14"/>
      <c r="D41" s="43" t="s">
        <v>564</v>
      </c>
      <c r="E41" s="13" t="s">
        <v>565</v>
      </c>
      <c r="F41" s="14" t="s">
        <v>566</v>
      </c>
      <c r="G41" s="43" t="s">
        <v>481</v>
      </c>
      <c r="H41" s="14" t="s">
        <v>144</v>
      </c>
      <c r="I41" s="13" t="s">
        <v>567</v>
      </c>
      <c r="J41" s="14" t="s">
        <v>567</v>
      </c>
      <c r="K41" s="14" t="s">
        <v>568</v>
      </c>
      <c r="L41" s="14" t="s">
        <v>569</v>
      </c>
      <c r="M41" s="14" t="s">
        <v>570</v>
      </c>
      <c r="N41" s="14" t="s">
        <v>571</v>
      </c>
      <c r="O41" s="14" t="s">
        <v>572</v>
      </c>
      <c r="P41" s="14"/>
      <c r="Q41" s="13" t="s">
        <v>573</v>
      </c>
      <c r="R41" s="13"/>
      <c r="S41" s="22" t="s">
        <v>0</v>
      </c>
      <c r="T41" s="22" t="s">
        <v>10</v>
      </c>
      <c r="U41" s="44" t="s">
        <v>188</v>
      </c>
      <c r="V41" s="22" t="s">
        <v>407</v>
      </c>
      <c r="W41" s="99" t="s">
        <v>2</v>
      </c>
      <c r="X41" s="99" t="s">
        <v>3</v>
      </c>
      <c r="Y41" s="75" t="s">
        <v>232</v>
      </c>
      <c r="Z41" s="75" t="s">
        <v>233</v>
      </c>
      <c r="AA41" s="75" t="s">
        <v>250</v>
      </c>
      <c r="AB41" s="22" t="s">
        <v>509</v>
      </c>
      <c r="AC41" s="22"/>
      <c r="AD41" s="22" t="s">
        <v>536</v>
      </c>
      <c r="AE41" s="22"/>
      <c r="AF41" s="57" t="s">
        <v>7</v>
      </c>
      <c r="AG41" s="57" t="s">
        <v>235</v>
      </c>
      <c r="AH41" s="103" t="s">
        <v>107</v>
      </c>
      <c r="AI41" s="1" t="e">
        <f>Table1[[#This Row],[Efforts with out AI ]]-Table1[[#This Row],[Efforts with AI]]</f>
        <v>#VALUE!</v>
      </c>
      <c r="AJ41" s="2"/>
    </row>
    <row r="42" spans="1:37" ht="57.75">
      <c r="A42" s="12">
        <f>ROW() - ROW(Table1[[#Headers],[S.No.]])</f>
        <v>41</v>
      </c>
      <c r="B42" s="13" t="s">
        <v>47</v>
      </c>
      <c r="C42" s="14"/>
      <c r="D42" s="13" t="s">
        <v>574</v>
      </c>
      <c r="E42" s="13" t="s">
        <v>575</v>
      </c>
      <c r="F42" s="14" t="s">
        <v>576</v>
      </c>
      <c r="G42" s="13">
        <v>46064</v>
      </c>
      <c r="H42" s="14" t="s">
        <v>112</v>
      </c>
      <c r="I42" s="13" t="s">
        <v>112</v>
      </c>
      <c r="J42" s="14" t="s">
        <v>577</v>
      </c>
      <c r="K42" s="14" t="s">
        <v>578</v>
      </c>
      <c r="L42" s="14" t="s">
        <v>579</v>
      </c>
      <c r="M42" s="14" t="s">
        <v>580</v>
      </c>
      <c r="N42" s="14">
        <v>2</v>
      </c>
      <c r="O42" s="14" t="s">
        <v>581</v>
      </c>
      <c r="P42" s="14"/>
      <c r="Q42" s="13" t="s">
        <v>582</v>
      </c>
      <c r="R42" s="13" t="s">
        <v>583</v>
      </c>
      <c r="S42" s="22" t="s">
        <v>0</v>
      </c>
      <c r="T42" s="22" t="s">
        <v>1</v>
      </c>
      <c r="U42" s="22" t="s">
        <v>584</v>
      </c>
      <c r="V42" s="22" t="s">
        <v>407</v>
      </c>
      <c r="W42" s="99" t="s">
        <v>2</v>
      </c>
      <c r="X42" s="99" t="s">
        <v>14</v>
      </c>
      <c r="Y42" s="59" t="s">
        <v>454</v>
      </c>
      <c r="Z42" s="59" t="s">
        <v>233</v>
      </c>
      <c r="AA42" s="59" t="s">
        <v>331</v>
      </c>
      <c r="AB42" s="42" t="s">
        <v>585</v>
      </c>
      <c r="AC42" s="22"/>
      <c r="AD42" s="22" t="s">
        <v>414</v>
      </c>
      <c r="AE42" s="22">
        <v>3</v>
      </c>
      <c r="AF42" s="57" t="s">
        <v>7</v>
      </c>
      <c r="AG42" s="57" t="s">
        <v>235</v>
      </c>
      <c r="AH42" s="103" t="s">
        <v>107</v>
      </c>
      <c r="AI42" s="1" t="e">
        <f>Table1[[#This Row],[Efforts with out AI ]]-Table1[[#This Row],[Efforts with AI]]</f>
        <v>#VALUE!</v>
      </c>
      <c r="AJ42" s="2"/>
    </row>
    <row r="43" spans="1:37" ht="57.75">
      <c r="A43" s="12">
        <f>ROW() - ROW(Table1[[#Headers],[S.No.]])</f>
        <v>42</v>
      </c>
      <c r="B43" s="13" t="s">
        <v>47</v>
      </c>
      <c r="C43" s="14"/>
      <c r="D43" s="43" t="s">
        <v>586</v>
      </c>
      <c r="E43" s="13" t="s">
        <v>587</v>
      </c>
      <c r="F43" s="14" t="s">
        <v>588</v>
      </c>
      <c r="G43" s="43"/>
      <c r="H43" s="14" t="s">
        <v>112</v>
      </c>
      <c r="I43" s="13" t="s">
        <v>589</v>
      </c>
      <c r="J43" s="14" t="s">
        <v>590</v>
      </c>
      <c r="K43" s="14" t="s">
        <v>401</v>
      </c>
      <c r="L43" s="14" t="s">
        <v>591</v>
      </c>
      <c r="M43" s="14" t="s">
        <v>592</v>
      </c>
      <c r="N43" s="14">
        <v>3</v>
      </c>
      <c r="O43" s="14" t="s">
        <v>593</v>
      </c>
      <c r="P43" s="14"/>
      <c r="Q43" s="13" t="s">
        <v>594</v>
      </c>
      <c r="R43" s="13" t="s">
        <v>583</v>
      </c>
      <c r="S43" s="22"/>
      <c r="T43" s="22" t="s">
        <v>6</v>
      </c>
      <c r="U43" s="44"/>
      <c r="V43" s="22" t="s">
        <v>407</v>
      </c>
      <c r="W43" s="99" t="s">
        <v>2</v>
      </c>
      <c r="X43" s="99" t="s">
        <v>8</v>
      </c>
      <c r="Y43" s="75" t="s">
        <v>595</v>
      </c>
      <c r="Z43" s="75" t="s">
        <v>233</v>
      </c>
      <c r="AA43" s="75" t="s">
        <v>331</v>
      </c>
      <c r="AB43" s="22" t="s">
        <v>412</v>
      </c>
      <c r="AC43" s="22"/>
      <c r="AD43" s="22" t="s">
        <v>536</v>
      </c>
      <c r="AE43" s="22"/>
      <c r="AF43" s="57" t="s">
        <v>7</v>
      </c>
      <c r="AG43" s="57" t="s">
        <v>235</v>
      </c>
      <c r="AH43" s="103" t="s">
        <v>107</v>
      </c>
      <c r="AI43" s="1" t="e">
        <f>Table1[[#This Row],[Efforts with out AI ]]-Table1[[#This Row],[Efforts with AI]]</f>
        <v>#VALUE!</v>
      </c>
      <c r="AJ43" s="2"/>
    </row>
    <row r="44" spans="1:37" ht="87">
      <c r="A44" s="27">
        <f>ROW() - ROW(Table1[[#Headers],[S.No.]])</f>
        <v>43</v>
      </c>
      <c r="B44" s="13" t="s">
        <v>47</v>
      </c>
      <c r="C44" s="14"/>
      <c r="D44" s="13" t="s">
        <v>596</v>
      </c>
      <c r="E44" s="13" t="s">
        <v>597</v>
      </c>
      <c r="F44" s="14" t="s">
        <v>598</v>
      </c>
      <c r="G44" s="13"/>
      <c r="H44" s="14" t="s">
        <v>112</v>
      </c>
      <c r="I44" s="13" t="s">
        <v>599</v>
      </c>
      <c r="J44" s="14" t="s">
        <v>600</v>
      </c>
      <c r="K44" s="14" t="s">
        <v>601</v>
      </c>
      <c r="L44" s="14" t="s">
        <v>602</v>
      </c>
      <c r="M44" s="14" t="s">
        <v>603</v>
      </c>
      <c r="N44" s="14">
        <v>1</v>
      </c>
      <c r="O44" s="14" t="s">
        <v>604</v>
      </c>
      <c r="P44" s="14" t="s">
        <v>605</v>
      </c>
      <c r="Q44" s="13" t="s">
        <v>606</v>
      </c>
      <c r="R44" s="13" t="s">
        <v>607</v>
      </c>
      <c r="S44" s="22" t="s">
        <v>0</v>
      </c>
      <c r="T44" s="22" t="s">
        <v>6</v>
      </c>
      <c r="U44" s="22" t="s">
        <v>608</v>
      </c>
      <c r="V44" s="22" t="s">
        <v>407</v>
      </c>
      <c r="W44" s="99" t="s">
        <v>2</v>
      </c>
      <c r="X44" s="99" t="s">
        <v>8</v>
      </c>
      <c r="Y44" s="59" t="s">
        <v>609</v>
      </c>
      <c r="Z44" s="59" t="s">
        <v>610</v>
      </c>
      <c r="AA44" s="59" t="s">
        <v>611</v>
      </c>
      <c r="AB44" s="22" t="s">
        <v>213</v>
      </c>
      <c r="AC44" s="22"/>
      <c r="AD44" s="22" t="s">
        <v>536</v>
      </c>
      <c r="AE44" s="22"/>
      <c r="AF44" s="121" t="s">
        <v>2</v>
      </c>
      <c r="AG44" s="121" t="s">
        <v>8</v>
      </c>
      <c r="AH44" s="103" t="s">
        <v>107</v>
      </c>
      <c r="AI44" s="1" t="e">
        <f>Table1[[#This Row],[Efforts with out AI ]]-Table1[[#This Row],[Efforts with AI]]</f>
        <v>#VALUE!</v>
      </c>
      <c r="AJ44" s="2"/>
    </row>
    <row r="45" spans="1:37" ht="57.75">
      <c r="A45" s="12">
        <f>ROW() - ROW(Table1[[#Headers],[S.No.]])</f>
        <v>44</v>
      </c>
      <c r="B45" s="13" t="s">
        <v>47</v>
      </c>
      <c r="C45" s="14"/>
      <c r="D45" s="43" t="s">
        <v>612</v>
      </c>
      <c r="E45" s="13" t="s">
        <v>613</v>
      </c>
      <c r="F45" s="14" t="s">
        <v>614</v>
      </c>
      <c r="G45" s="43"/>
      <c r="H45" s="14" t="s">
        <v>112</v>
      </c>
      <c r="I45" s="13" t="s">
        <v>615</v>
      </c>
      <c r="J45" s="14" t="s">
        <v>613</v>
      </c>
      <c r="K45" s="14" t="s">
        <v>616</v>
      </c>
      <c r="L45" s="14" t="s">
        <v>617</v>
      </c>
      <c r="M45" s="14" t="s">
        <v>618</v>
      </c>
      <c r="N45" s="14" t="s">
        <v>619</v>
      </c>
      <c r="O45" s="14" t="s">
        <v>620</v>
      </c>
      <c r="P45" s="14" t="s">
        <v>621</v>
      </c>
      <c r="Q45" s="13" t="s">
        <v>622</v>
      </c>
      <c r="R45" s="13" t="s">
        <v>623</v>
      </c>
      <c r="S45" s="22" t="s">
        <v>0</v>
      </c>
      <c r="T45" s="22" t="s">
        <v>1</v>
      </c>
      <c r="U45" s="44"/>
      <c r="V45" s="22" t="s">
        <v>407</v>
      </c>
      <c r="W45" s="99" t="s">
        <v>2</v>
      </c>
      <c r="X45" s="99" t="s">
        <v>14</v>
      </c>
      <c r="Y45" s="75" t="s">
        <v>454</v>
      </c>
      <c r="Z45" s="75" t="s">
        <v>233</v>
      </c>
      <c r="AA45" s="75" t="s">
        <v>331</v>
      </c>
      <c r="AB45" s="22" t="s">
        <v>412</v>
      </c>
      <c r="AC45" s="22"/>
      <c r="AD45" s="22" t="s">
        <v>414</v>
      </c>
      <c r="AE45" s="22"/>
      <c r="AF45" s="57" t="s">
        <v>7</v>
      </c>
      <c r="AG45" s="57" t="s">
        <v>235</v>
      </c>
      <c r="AH45" s="103" t="s">
        <v>107</v>
      </c>
      <c r="AI45" s="1" t="e">
        <f>Table1[[#This Row],[Efforts with out AI ]]-Table1[[#This Row],[Efforts with AI]]</f>
        <v>#VALUE!</v>
      </c>
      <c r="AJ45" s="2"/>
    </row>
    <row r="46" spans="1:37" ht="72.75">
      <c r="A46" s="12">
        <f>ROW() - ROW(Table1[[#Headers],[S.No.]])</f>
        <v>45</v>
      </c>
      <c r="B46" s="13" t="s">
        <v>47</v>
      </c>
      <c r="C46" s="14"/>
      <c r="D46" s="13" t="s">
        <v>624</v>
      </c>
      <c r="E46" s="13" t="s">
        <v>625</v>
      </c>
      <c r="F46" s="14" t="s">
        <v>626</v>
      </c>
      <c r="G46" s="13"/>
      <c r="H46" s="14" t="s">
        <v>112</v>
      </c>
      <c r="I46" s="13" t="s">
        <v>627</v>
      </c>
      <c r="J46" s="14" t="s">
        <v>628</v>
      </c>
      <c r="K46" s="14" t="s">
        <v>629</v>
      </c>
      <c r="L46" s="14" t="s">
        <v>630</v>
      </c>
      <c r="M46" s="14" t="s">
        <v>631</v>
      </c>
      <c r="N46" s="14">
        <v>2</v>
      </c>
      <c r="O46" s="14" t="s">
        <v>632</v>
      </c>
      <c r="P46" s="14" t="s">
        <v>633</v>
      </c>
      <c r="Q46" s="13" t="s">
        <v>634</v>
      </c>
      <c r="R46" s="13" t="s">
        <v>635</v>
      </c>
      <c r="S46" s="22" t="s">
        <v>0</v>
      </c>
      <c r="T46" s="22" t="s">
        <v>10</v>
      </c>
      <c r="U46" s="22" t="s">
        <v>636</v>
      </c>
      <c r="V46" s="22" t="s">
        <v>407</v>
      </c>
      <c r="W46" s="99" t="s">
        <v>2</v>
      </c>
      <c r="X46" s="99" t="s">
        <v>3</v>
      </c>
      <c r="Y46" s="59" t="s">
        <v>232</v>
      </c>
      <c r="Z46" s="59" t="s">
        <v>233</v>
      </c>
      <c r="AA46" s="59" t="s">
        <v>250</v>
      </c>
      <c r="AB46" s="22" t="s">
        <v>213</v>
      </c>
      <c r="AC46" s="22"/>
      <c r="AD46" s="22" t="s">
        <v>493</v>
      </c>
      <c r="AE46" s="22"/>
      <c r="AF46" s="57" t="s">
        <v>7</v>
      </c>
      <c r="AG46" s="57" t="s">
        <v>235</v>
      </c>
      <c r="AH46" s="103" t="s">
        <v>107</v>
      </c>
      <c r="AI46" s="1" t="e">
        <f>Table1[[#This Row],[Efforts with out AI ]]-Table1[[#This Row],[Efforts with AI]]</f>
        <v>#VALUE!</v>
      </c>
      <c r="AJ46" s="2"/>
    </row>
    <row r="47" spans="1:37" s="5" customFormat="1" ht="101.25">
      <c r="A47" s="12">
        <f>ROW() - ROW(Table1[[#Headers],[S.No.]])</f>
        <v>46</v>
      </c>
      <c r="B47" s="13" t="s">
        <v>47</v>
      </c>
      <c r="C47" s="14"/>
      <c r="D47" s="43" t="s">
        <v>637</v>
      </c>
      <c r="E47" s="13" t="s">
        <v>638</v>
      </c>
      <c r="F47" s="14" t="s">
        <v>639</v>
      </c>
      <c r="G47" s="43"/>
      <c r="H47" s="14" t="s">
        <v>112</v>
      </c>
      <c r="I47" s="13" t="s">
        <v>640</v>
      </c>
      <c r="J47" s="14" t="s">
        <v>641</v>
      </c>
      <c r="K47" s="14" t="s">
        <v>642</v>
      </c>
      <c r="L47" s="14" t="s">
        <v>643</v>
      </c>
      <c r="M47" s="14" t="s">
        <v>644</v>
      </c>
      <c r="N47" s="14"/>
      <c r="O47" s="14" t="s">
        <v>645</v>
      </c>
      <c r="P47" s="14" t="s">
        <v>646</v>
      </c>
      <c r="Q47" s="13" t="s">
        <v>647</v>
      </c>
      <c r="R47" s="13" t="s">
        <v>648</v>
      </c>
      <c r="S47" s="22" t="s">
        <v>0</v>
      </c>
      <c r="T47" s="22" t="s">
        <v>10</v>
      </c>
      <c r="U47" s="44" t="s">
        <v>649</v>
      </c>
      <c r="V47" s="22" t="s">
        <v>407</v>
      </c>
      <c r="W47" s="99" t="s">
        <v>2</v>
      </c>
      <c r="X47" s="99" t="s">
        <v>3</v>
      </c>
      <c r="Y47" s="75" t="s">
        <v>650</v>
      </c>
      <c r="Z47" s="75" t="s">
        <v>651</v>
      </c>
      <c r="AA47" s="75" t="s">
        <v>652</v>
      </c>
      <c r="AB47" s="22" t="s">
        <v>465</v>
      </c>
      <c r="AC47" s="22"/>
      <c r="AD47" s="22" t="s">
        <v>493</v>
      </c>
      <c r="AE47" s="22"/>
      <c r="AF47" s="121" t="s">
        <v>2</v>
      </c>
      <c r="AG47" s="121" t="s">
        <v>3</v>
      </c>
      <c r="AH47" s="103" t="s">
        <v>107</v>
      </c>
      <c r="AI47" s="1" t="e">
        <f>Table1[[#This Row],[Efforts with out AI ]]-Table1[[#This Row],[Efforts with AI]]</f>
        <v>#VALUE!</v>
      </c>
      <c r="AJ47" s="2"/>
      <c r="AK47" s="166"/>
    </row>
    <row r="48" spans="1:37" ht="57.75">
      <c r="A48" s="27">
        <f>ROW() - ROW(Table1[[#Headers],[S.No.]])</f>
        <v>47</v>
      </c>
      <c r="B48" s="13" t="s">
        <v>47</v>
      </c>
      <c r="C48" s="14"/>
      <c r="D48" s="13" t="s">
        <v>653</v>
      </c>
      <c r="E48" s="13" t="s">
        <v>654</v>
      </c>
      <c r="F48" s="14" t="s">
        <v>655</v>
      </c>
      <c r="G48" s="13"/>
      <c r="H48" s="14" t="s">
        <v>112</v>
      </c>
      <c r="I48" s="13" t="s">
        <v>656</v>
      </c>
      <c r="J48" s="14" t="s">
        <v>657</v>
      </c>
      <c r="K48" s="14" t="s">
        <v>435</v>
      </c>
      <c r="L48" s="14" t="s">
        <v>658</v>
      </c>
      <c r="M48" s="14" t="s">
        <v>659</v>
      </c>
      <c r="N48" s="14">
        <v>1</v>
      </c>
      <c r="O48" s="14" t="s">
        <v>655</v>
      </c>
      <c r="P48" s="14"/>
      <c r="Q48" s="13" t="s">
        <v>660</v>
      </c>
      <c r="R48" s="13" t="s">
        <v>661</v>
      </c>
      <c r="S48" s="22" t="s">
        <v>0</v>
      </c>
      <c r="T48" s="22" t="s">
        <v>1</v>
      </c>
      <c r="U48" s="22" t="s">
        <v>662</v>
      </c>
      <c r="V48" s="22" t="s">
        <v>407</v>
      </c>
      <c r="W48" s="99" t="s">
        <v>2</v>
      </c>
      <c r="X48" s="99" t="s">
        <v>14</v>
      </c>
      <c r="Y48" s="59" t="s">
        <v>454</v>
      </c>
      <c r="Z48" s="59" t="s">
        <v>233</v>
      </c>
      <c r="AA48" s="59" t="s">
        <v>331</v>
      </c>
      <c r="AB48" s="22" t="s">
        <v>492</v>
      </c>
      <c r="AC48" s="22"/>
      <c r="AD48" s="22" t="s">
        <v>414</v>
      </c>
      <c r="AE48" s="22"/>
      <c r="AF48" s="57" t="s">
        <v>7</v>
      </c>
      <c r="AG48" s="57" t="s">
        <v>235</v>
      </c>
      <c r="AH48" s="103" t="s">
        <v>107</v>
      </c>
      <c r="AI48" s="1" t="e">
        <f>Table1[[#This Row],[Efforts with out AI ]]-Table1[[#This Row],[Efforts with AI]]</f>
        <v>#VALUE!</v>
      </c>
      <c r="AJ48" s="2"/>
    </row>
    <row r="49" spans="1:36" ht="130.5">
      <c r="A49" s="12">
        <f>ROW() - ROW(Table1[[#Headers],[S.No.]])</f>
        <v>48</v>
      </c>
      <c r="B49" s="13" t="s">
        <v>47</v>
      </c>
      <c r="C49" s="14"/>
      <c r="D49" s="43" t="s">
        <v>663</v>
      </c>
      <c r="E49" s="13" t="s">
        <v>664</v>
      </c>
      <c r="F49" s="14" t="s">
        <v>665</v>
      </c>
      <c r="G49" s="43"/>
      <c r="H49" s="14" t="s">
        <v>112</v>
      </c>
      <c r="I49" s="13" t="s">
        <v>656</v>
      </c>
      <c r="J49" s="14" t="s">
        <v>666</v>
      </c>
      <c r="K49" s="14" t="s">
        <v>460</v>
      </c>
      <c r="L49" s="14" t="s">
        <v>667</v>
      </c>
      <c r="M49" s="14" t="s">
        <v>659</v>
      </c>
      <c r="N49" s="14" t="s">
        <v>619</v>
      </c>
      <c r="O49" s="14" t="s">
        <v>665</v>
      </c>
      <c r="P49" s="14"/>
      <c r="Q49" s="14" t="s">
        <v>660</v>
      </c>
      <c r="R49" s="14" t="s">
        <v>661</v>
      </c>
      <c r="S49" s="22" t="s">
        <v>5</v>
      </c>
      <c r="T49" s="22" t="s">
        <v>1</v>
      </c>
      <c r="U49" s="123" t="s">
        <v>668</v>
      </c>
      <c r="V49" s="22" t="s">
        <v>407</v>
      </c>
      <c r="W49" s="162" t="s">
        <v>41</v>
      </c>
      <c r="X49" s="162" t="s">
        <v>669</v>
      </c>
      <c r="Y49" s="127" t="s">
        <v>670</v>
      </c>
      <c r="Z49" s="127" t="s">
        <v>671</v>
      </c>
      <c r="AA49" s="127" t="s">
        <v>672</v>
      </c>
      <c r="AB49" s="163" t="s">
        <v>465</v>
      </c>
      <c r="AC49" s="163" t="s">
        <v>413</v>
      </c>
      <c r="AD49" s="163" t="s">
        <v>414</v>
      </c>
      <c r="AE49" s="163" t="s">
        <v>413</v>
      </c>
      <c r="AF49" s="136" t="s">
        <v>11</v>
      </c>
      <c r="AG49" s="100" t="s">
        <v>673</v>
      </c>
      <c r="AH49" s="103" t="s">
        <v>107</v>
      </c>
      <c r="AI49" s="1" t="e">
        <f>Table1[[#This Row],[Efforts with out AI ]]-Table1[[#This Row],[Efforts with AI]]</f>
        <v>#VALUE!</v>
      </c>
      <c r="AJ49" s="2"/>
    </row>
    <row r="50" spans="1:36" ht="87">
      <c r="A50" s="12">
        <f>ROW() - ROW(Table1[[#Headers],[S.No.]])</f>
        <v>49</v>
      </c>
      <c r="B50" s="13" t="s">
        <v>47</v>
      </c>
      <c r="C50" s="14"/>
      <c r="D50" s="13" t="s">
        <v>674</v>
      </c>
      <c r="E50" s="13" t="s">
        <v>675</v>
      </c>
      <c r="F50" s="14" t="s">
        <v>676</v>
      </c>
      <c r="G50" s="13">
        <v>46079</v>
      </c>
      <c r="H50" s="14" t="s">
        <v>677</v>
      </c>
      <c r="I50" s="13" t="s">
        <v>678</v>
      </c>
      <c r="J50" s="14" t="s">
        <v>679</v>
      </c>
      <c r="K50" s="14" t="s">
        <v>680</v>
      </c>
      <c r="L50" s="14" t="s">
        <v>681</v>
      </c>
      <c r="M50" s="14" t="s">
        <v>682</v>
      </c>
      <c r="N50" s="14" t="s">
        <v>683</v>
      </c>
      <c r="O50" s="14" t="s">
        <v>684</v>
      </c>
      <c r="P50" s="14" t="s">
        <v>685</v>
      </c>
      <c r="Q50" s="13" t="s">
        <v>686</v>
      </c>
      <c r="R50" s="13" t="s">
        <v>687</v>
      </c>
      <c r="S50" s="22" t="s">
        <v>0</v>
      </c>
      <c r="T50" s="22" t="s">
        <v>10</v>
      </c>
      <c r="U50" s="22"/>
      <c r="V50" s="22" t="s">
        <v>407</v>
      </c>
      <c r="W50" s="99" t="s">
        <v>2</v>
      </c>
      <c r="X50" s="99" t="s">
        <v>3</v>
      </c>
      <c r="Y50" s="59" t="s">
        <v>688</v>
      </c>
      <c r="Z50" s="59" t="s">
        <v>689</v>
      </c>
      <c r="AA50" s="59" t="s">
        <v>690</v>
      </c>
      <c r="AB50" s="22" t="s">
        <v>492</v>
      </c>
      <c r="AC50" s="22"/>
      <c r="AD50" s="22" t="s">
        <v>536</v>
      </c>
      <c r="AE50" s="22"/>
      <c r="AF50" s="121" t="s">
        <v>2</v>
      </c>
      <c r="AG50" s="121" t="s">
        <v>3</v>
      </c>
      <c r="AH50" s="103" t="s">
        <v>107</v>
      </c>
      <c r="AI50" s="1" t="e">
        <f>Table1[[#This Row],[Efforts with out AI ]]-Table1[[#This Row],[Efforts with AI]]</f>
        <v>#VALUE!</v>
      </c>
      <c r="AJ50" s="2"/>
    </row>
    <row r="51" spans="1:36" ht="144.75">
      <c r="A51" s="12">
        <f>ROW() - ROW(Table1[[#Headers],[S.No.]])</f>
        <v>50</v>
      </c>
      <c r="B51" s="13" t="s">
        <v>47</v>
      </c>
      <c r="C51" s="14"/>
      <c r="D51" s="43"/>
      <c r="E51" s="13" t="s">
        <v>691</v>
      </c>
      <c r="F51" s="14" t="s">
        <v>692</v>
      </c>
      <c r="G51" s="43">
        <v>46084</v>
      </c>
      <c r="H51" s="14" t="s">
        <v>92</v>
      </c>
      <c r="I51" s="13" t="s">
        <v>399</v>
      </c>
      <c r="J51" s="14" t="s">
        <v>693</v>
      </c>
      <c r="K51" s="14"/>
      <c r="L51" s="14"/>
      <c r="M51" s="14" t="s">
        <v>403</v>
      </c>
      <c r="N51" s="14" t="s">
        <v>694</v>
      </c>
      <c r="O51" s="14" t="s">
        <v>404</v>
      </c>
      <c r="P51" s="14"/>
      <c r="Q51" s="14" t="s">
        <v>695</v>
      </c>
      <c r="R51" s="14"/>
      <c r="S51" s="22" t="s">
        <v>5</v>
      </c>
      <c r="T51" s="22" t="s">
        <v>6</v>
      </c>
      <c r="U51" s="123" t="s">
        <v>696</v>
      </c>
      <c r="V51" s="22" t="s">
        <v>407</v>
      </c>
      <c r="W51" s="162" t="s">
        <v>41</v>
      </c>
      <c r="X51" s="162" t="s">
        <v>697</v>
      </c>
      <c r="Y51" s="130" t="s">
        <v>698</v>
      </c>
      <c r="Z51" s="130" t="s">
        <v>699</v>
      </c>
      <c r="AA51" s="130" t="s">
        <v>700</v>
      </c>
      <c r="AB51" s="163" t="s">
        <v>465</v>
      </c>
      <c r="AC51" s="163" t="s">
        <v>413</v>
      </c>
      <c r="AD51" s="163" t="s">
        <v>536</v>
      </c>
      <c r="AE51" s="163" t="s">
        <v>413</v>
      </c>
      <c r="AF51" s="136" t="s">
        <v>11</v>
      </c>
      <c r="AG51" s="100" t="s">
        <v>701</v>
      </c>
      <c r="AH51" s="103" t="s">
        <v>107</v>
      </c>
      <c r="AI51" s="1">
        <f>Table1[[#This Row],[Efforts with out AI ]]-Table1[[#This Row],[Efforts with AI]]</f>
        <v>0</v>
      </c>
      <c r="AJ51" s="2"/>
    </row>
    <row r="52" spans="1:36" ht="57.75">
      <c r="A52" s="27">
        <f>ROW() - ROW(Table1[[#Headers],[S.No.]])</f>
        <v>51</v>
      </c>
      <c r="B52" s="46" t="s">
        <v>48</v>
      </c>
      <c r="C52" s="46" t="s">
        <v>702</v>
      </c>
      <c r="D52" s="46" t="s">
        <v>703</v>
      </c>
      <c r="E52" s="46" t="s">
        <v>704</v>
      </c>
      <c r="F52" s="47" t="s">
        <v>705</v>
      </c>
      <c r="G52" s="46" t="s">
        <v>706</v>
      </c>
      <c r="H52" s="47" t="s">
        <v>112</v>
      </c>
      <c r="I52" s="46" t="s">
        <v>112</v>
      </c>
      <c r="J52" s="47" t="s">
        <v>707</v>
      </c>
      <c r="K52" s="48" t="s">
        <v>708</v>
      </c>
      <c r="L52" s="48">
        <v>8</v>
      </c>
      <c r="M52" s="47" t="s">
        <v>709</v>
      </c>
      <c r="N52" s="48">
        <v>6</v>
      </c>
      <c r="O52" s="47" t="s">
        <v>710</v>
      </c>
      <c r="P52" s="47" t="s">
        <v>711</v>
      </c>
      <c r="Q52" s="47" t="s">
        <v>712</v>
      </c>
      <c r="R52" s="46" t="s">
        <v>713</v>
      </c>
      <c r="S52" s="49" t="s">
        <v>0</v>
      </c>
      <c r="T52" s="49" t="s">
        <v>1</v>
      </c>
      <c r="U52" s="49" t="s">
        <v>714</v>
      </c>
      <c r="V52" s="49" t="s">
        <v>715</v>
      </c>
      <c r="W52" s="99" t="s">
        <v>2</v>
      </c>
      <c r="X52" s="99" t="s">
        <v>14</v>
      </c>
      <c r="Y52" s="75" t="s">
        <v>454</v>
      </c>
      <c r="Z52" s="75" t="s">
        <v>233</v>
      </c>
      <c r="AA52" s="75" t="s">
        <v>331</v>
      </c>
      <c r="AB52" s="50">
        <v>8</v>
      </c>
      <c r="AC52" s="50"/>
      <c r="AD52" s="49" t="s">
        <v>716</v>
      </c>
      <c r="AE52" s="50"/>
      <c r="AF52" s="57" t="s">
        <v>7</v>
      </c>
      <c r="AG52" s="57" t="s">
        <v>235</v>
      </c>
      <c r="AH52" s="103" t="s">
        <v>107</v>
      </c>
      <c r="AI52" s="1" t="e">
        <f>Table1[[#This Row],[Efforts with out AI ]]-Table1[[#This Row],[Efforts with AI]]</f>
        <v>#VALUE!</v>
      </c>
      <c r="AJ52" s="2"/>
    </row>
    <row r="53" spans="1:36" ht="72.75">
      <c r="A53" s="12">
        <f>ROW() - ROW(Table1[[#Headers],[S.No.]])</f>
        <v>52</v>
      </c>
      <c r="B53" s="13" t="s">
        <v>48</v>
      </c>
      <c r="C53" s="13" t="s">
        <v>702</v>
      </c>
      <c r="D53" s="43" t="s">
        <v>717</v>
      </c>
      <c r="E53" s="13" t="s">
        <v>718</v>
      </c>
      <c r="F53" s="14" t="s">
        <v>719</v>
      </c>
      <c r="G53" s="43" t="s">
        <v>706</v>
      </c>
      <c r="H53" s="14" t="s">
        <v>144</v>
      </c>
      <c r="I53" s="13" t="s">
        <v>159</v>
      </c>
      <c r="J53" s="14" t="s">
        <v>718</v>
      </c>
      <c r="K53" s="51" t="s">
        <v>720</v>
      </c>
      <c r="L53" s="51">
        <v>16</v>
      </c>
      <c r="M53" s="14" t="s">
        <v>721</v>
      </c>
      <c r="N53" s="51">
        <v>7</v>
      </c>
      <c r="O53" s="14" t="s">
        <v>722</v>
      </c>
      <c r="P53" s="14" t="s">
        <v>723</v>
      </c>
      <c r="Q53" s="13" t="s">
        <v>712</v>
      </c>
      <c r="R53" s="13" t="s">
        <v>724</v>
      </c>
      <c r="S53" s="22" t="s">
        <v>0</v>
      </c>
      <c r="T53" s="22" t="s">
        <v>1</v>
      </c>
      <c r="U53" s="13" t="s">
        <v>714</v>
      </c>
      <c r="V53" s="22" t="s">
        <v>715</v>
      </c>
      <c r="W53" s="99" t="s">
        <v>2</v>
      </c>
      <c r="X53" s="99" t="s">
        <v>14</v>
      </c>
      <c r="Y53" s="75" t="s">
        <v>454</v>
      </c>
      <c r="Z53" s="75" t="s">
        <v>233</v>
      </c>
      <c r="AA53" s="75" t="s">
        <v>250</v>
      </c>
      <c r="AB53" s="52">
        <v>8</v>
      </c>
      <c r="AC53" s="52"/>
      <c r="AD53" s="22" t="s">
        <v>716</v>
      </c>
      <c r="AE53" s="52"/>
      <c r="AF53" s="57" t="s">
        <v>7</v>
      </c>
      <c r="AG53" s="57" t="s">
        <v>235</v>
      </c>
      <c r="AH53" s="103" t="s">
        <v>107</v>
      </c>
      <c r="AI53" s="1" t="e">
        <f>Table1[[#This Row],[Efforts with out AI ]]-Table1[[#This Row],[Efforts with AI]]</f>
        <v>#VALUE!</v>
      </c>
      <c r="AJ53" s="2"/>
    </row>
    <row r="54" spans="1:36" ht="57.75">
      <c r="A54" s="12">
        <f>ROW() - ROW(Table1[[#Headers],[S.No.]])</f>
        <v>53</v>
      </c>
      <c r="B54" s="46" t="s">
        <v>48</v>
      </c>
      <c r="C54" s="46" t="s">
        <v>702</v>
      </c>
      <c r="D54" s="53" t="s">
        <v>725</v>
      </c>
      <c r="E54" s="46" t="s">
        <v>726</v>
      </c>
      <c r="F54" s="47" t="s">
        <v>727</v>
      </c>
      <c r="G54" s="54">
        <v>46082</v>
      </c>
      <c r="H54" s="47" t="s">
        <v>92</v>
      </c>
      <c r="I54" s="46" t="s">
        <v>93</v>
      </c>
      <c r="J54" s="47" t="s">
        <v>728</v>
      </c>
      <c r="K54" s="48" t="s">
        <v>729</v>
      </c>
      <c r="L54" s="48">
        <v>0.5</v>
      </c>
      <c r="M54" s="47" t="s">
        <v>730</v>
      </c>
      <c r="N54" s="48" t="s">
        <v>731</v>
      </c>
      <c r="O54" s="47" t="s">
        <v>732</v>
      </c>
      <c r="P54" s="47" t="s">
        <v>733</v>
      </c>
      <c r="Q54" s="46" t="s">
        <v>712</v>
      </c>
      <c r="R54" s="46" t="s">
        <v>734</v>
      </c>
      <c r="S54" s="49" t="s">
        <v>0</v>
      </c>
      <c r="T54" s="49" t="s">
        <v>1</v>
      </c>
      <c r="U54" s="46" t="s">
        <v>714</v>
      </c>
      <c r="V54" s="49" t="s">
        <v>715</v>
      </c>
      <c r="W54" s="99" t="s">
        <v>2</v>
      </c>
      <c r="X54" s="99" t="s">
        <v>14</v>
      </c>
      <c r="Y54" s="75" t="s">
        <v>454</v>
      </c>
      <c r="Z54" s="75" t="s">
        <v>233</v>
      </c>
      <c r="AA54" s="75" t="s">
        <v>735</v>
      </c>
      <c r="AB54" s="50">
        <v>1.5</v>
      </c>
      <c r="AC54" s="50"/>
      <c r="AD54" s="49" t="s">
        <v>716</v>
      </c>
      <c r="AE54" s="50"/>
      <c r="AF54" s="57" t="s">
        <v>7</v>
      </c>
      <c r="AG54" s="57" t="s">
        <v>235</v>
      </c>
      <c r="AH54" s="103" t="s">
        <v>107</v>
      </c>
      <c r="AI54" s="1" t="e">
        <f>Table1[[#This Row],[Efforts with out AI ]]-Table1[[#This Row],[Efforts with AI]]</f>
        <v>#VALUE!</v>
      </c>
      <c r="AJ54" s="2"/>
    </row>
    <row r="55" spans="1:36" s="2" customFormat="1" ht="87">
      <c r="A55" s="12">
        <f>ROW() - ROW(Table1[[#Headers],[S.No.]])</f>
        <v>54</v>
      </c>
      <c r="B55" s="13" t="s">
        <v>48</v>
      </c>
      <c r="C55" s="14" t="s">
        <v>736</v>
      </c>
      <c r="D55" s="43" t="s">
        <v>737</v>
      </c>
      <c r="E55" s="13" t="s">
        <v>738</v>
      </c>
      <c r="F55" s="14" t="s">
        <v>739</v>
      </c>
      <c r="G55" s="43" t="s">
        <v>740</v>
      </c>
      <c r="H55" s="14" t="s">
        <v>144</v>
      </c>
      <c r="I55" s="13" t="s">
        <v>741</v>
      </c>
      <c r="J55" s="14" t="s">
        <v>742</v>
      </c>
      <c r="K55" s="14" t="s">
        <v>743</v>
      </c>
      <c r="L55" s="14" t="s">
        <v>744</v>
      </c>
      <c r="M55" s="14" t="s">
        <v>745</v>
      </c>
      <c r="N55" s="14" t="s">
        <v>746</v>
      </c>
      <c r="O55" s="14" t="s">
        <v>747</v>
      </c>
      <c r="P55" s="14" t="s">
        <v>748</v>
      </c>
      <c r="Q55" s="13" t="s">
        <v>749</v>
      </c>
      <c r="R55" s="13" t="s">
        <v>750</v>
      </c>
      <c r="S55" s="22" t="s">
        <v>0</v>
      </c>
      <c r="T55" s="22" t="s">
        <v>10</v>
      </c>
      <c r="U55" s="44" t="s">
        <v>188</v>
      </c>
      <c r="V55" s="22" t="s">
        <v>715</v>
      </c>
      <c r="W55" s="99" t="s">
        <v>2</v>
      </c>
      <c r="X55" s="99" t="s">
        <v>3</v>
      </c>
      <c r="Y55" s="75" t="s">
        <v>751</v>
      </c>
      <c r="Z55" s="75" t="s">
        <v>752</v>
      </c>
      <c r="AA55" s="75" t="s">
        <v>753</v>
      </c>
      <c r="AB55" s="19">
        <v>3</v>
      </c>
      <c r="AC55" s="19"/>
      <c r="AD55" s="56" t="s">
        <v>754</v>
      </c>
      <c r="AE55" s="19"/>
      <c r="AF55" s="121" t="s">
        <v>2</v>
      </c>
      <c r="AG55" s="121" t="s">
        <v>3</v>
      </c>
      <c r="AH55" s="103" t="s">
        <v>107</v>
      </c>
      <c r="AI55" s="1" t="e">
        <f>Table1[[#This Row],[Efforts with out AI ]]-Table1[[#This Row],[Efforts with AI]]</f>
        <v>#VALUE!</v>
      </c>
    </row>
    <row r="56" spans="1:36" s="2" customFormat="1" ht="101.25">
      <c r="A56" s="27">
        <f>ROW() - ROW(Table1[[#Headers],[S.No.]])</f>
        <v>55</v>
      </c>
      <c r="B56" s="13" t="s">
        <v>48</v>
      </c>
      <c r="C56" s="14" t="s">
        <v>736</v>
      </c>
      <c r="D56" s="13" t="s">
        <v>755</v>
      </c>
      <c r="E56" s="13" t="s">
        <v>756</v>
      </c>
      <c r="F56" s="14" t="s">
        <v>757</v>
      </c>
      <c r="G56" s="13" t="s">
        <v>740</v>
      </c>
      <c r="H56" s="14" t="s">
        <v>112</v>
      </c>
      <c r="I56" s="13" t="s">
        <v>482</v>
      </c>
      <c r="J56" s="14" t="s">
        <v>758</v>
      </c>
      <c r="K56" s="14" t="s">
        <v>759</v>
      </c>
      <c r="L56" s="14" t="s">
        <v>760</v>
      </c>
      <c r="M56" s="14" t="s">
        <v>761</v>
      </c>
      <c r="N56" s="14" t="s">
        <v>762</v>
      </c>
      <c r="O56" s="14" t="s">
        <v>763</v>
      </c>
      <c r="P56" s="14" t="s">
        <v>764</v>
      </c>
      <c r="Q56" s="13" t="s">
        <v>765</v>
      </c>
      <c r="R56" s="13" t="s">
        <v>766</v>
      </c>
      <c r="S56" s="22" t="s">
        <v>0</v>
      </c>
      <c r="T56" s="22" t="s">
        <v>10</v>
      </c>
      <c r="U56" s="22" t="s">
        <v>188</v>
      </c>
      <c r="V56" s="22" t="s">
        <v>715</v>
      </c>
      <c r="W56" s="99" t="s">
        <v>2</v>
      </c>
      <c r="X56" s="99" t="s">
        <v>3</v>
      </c>
      <c r="Y56" s="59" t="s">
        <v>767</v>
      </c>
      <c r="Z56" s="59" t="s">
        <v>768</v>
      </c>
      <c r="AA56" s="59" t="s">
        <v>769</v>
      </c>
      <c r="AB56" s="19">
        <v>3</v>
      </c>
      <c r="AC56" s="19"/>
      <c r="AD56" s="149" t="s">
        <v>754</v>
      </c>
      <c r="AE56" s="19"/>
      <c r="AF56" s="121" t="s">
        <v>2</v>
      </c>
      <c r="AG56" s="121" t="s">
        <v>3</v>
      </c>
      <c r="AH56" s="103" t="s">
        <v>107</v>
      </c>
      <c r="AI56" s="1" t="e">
        <f>Table1[[#This Row],[Efforts with out AI ]]-Table1[[#This Row],[Efforts with AI]]</f>
        <v>#VALUE!</v>
      </c>
    </row>
    <row r="57" spans="1:36" s="2" customFormat="1" ht="101.25">
      <c r="A57" s="12">
        <f>ROW() - ROW(Table1[[#Headers],[S.No.]])</f>
        <v>56</v>
      </c>
      <c r="B57" s="13" t="s">
        <v>48</v>
      </c>
      <c r="C57" s="14" t="s">
        <v>736</v>
      </c>
      <c r="D57" s="13" t="s">
        <v>770</v>
      </c>
      <c r="E57" s="13" t="s">
        <v>771</v>
      </c>
      <c r="F57" s="14" t="s">
        <v>772</v>
      </c>
      <c r="G57" s="13" t="s">
        <v>740</v>
      </c>
      <c r="H57" s="14" t="s">
        <v>773</v>
      </c>
      <c r="I57" s="13" t="s">
        <v>774</v>
      </c>
      <c r="J57" s="14" t="s">
        <v>775</v>
      </c>
      <c r="K57" s="14" t="s">
        <v>776</v>
      </c>
      <c r="L57" s="14" t="s">
        <v>777</v>
      </c>
      <c r="M57" s="14" t="s">
        <v>778</v>
      </c>
      <c r="N57" s="14" t="s">
        <v>779</v>
      </c>
      <c r="O57" s="14" t="s">
        <v>780</v>
      </c>
      <c r="P57" s="14" t="s">
        <v>781</v>
      </c>
      <c r="Q57" s="13" t="s">
        <v>782</v>
      </c>
      <c r="R57" s="13" t="s">
        <v>783</v>
      </c>
      <c r="S57" s="22" t="s">
        <v>0</v>
      </c>
      <c r="T57" s="22" t="s">
        <v>10</v>
      </c>
      <c r="U57" s="22" t="s">
        <v>188</v>
      </c>
      <c r="V57" s="22" t="s">
        <v>715</v>
      </c>
      <c r="W57" s="99" t="s">
        <v>2</v>
      </c>
      <c r="X57" s="99" t="s">
        <v>3</v>
      </c>
      <c r="Y57" s="59" t="s">
        <v>784</v>
      </c>
      <c r="Z57" s="59" t="s">
        <v>785</v>
      </c>
      <c r="AA57" s="59" t="s">
        <v>786</v>
      </c>
      <c r="AB57" s="19">
        <v>2</v>
      </c>
      <c r="AC57" s="19"/>
      <c r="AD57" s="56" t="s">
        <v>754</v>
      </c>
      <c r="AE57" s="19"/>
      <c r="AF57" s="121" t="s">
        <v>2</v>
      </c>
      <c r="AG57" s="121" t="s">
        <v>3</v>
      </c>
      <c r="AH57" s="103" t="s">
        <v>107</v>
      </c>
      <c r="AI57" s="1" t="e">
        <f>Table1[[#This Row],[Efforts with out AI ]]-Table1[[#This Row],[Efforts with AI]]</f>
        <v>#VALUE!</v>
      </c>
    </row>
    <row r="58" spans="1:36" ht="72.75">
      <c r="A58" s="12">
        <f>ROW() - ROW(Table1[[#Headers],[S.No.]])</f>
        <v>57</v>
      </c>
      <c r="B58" s="13" t="s">
        <v>48</v>
      </c>
      <c r="C58" s="13" t="s">
        <v>702</v>
      </c>
      <c r="D58" s="43" t="s">
        <v>787</v>
      </c>
      <c r="E58" s="13" t="s">
        <v>788</v>
      </c>
      <c r="F58" s="14" t="s">
        <v>789</v>
      </c>
      <c r="G58" s="55">
        <v>46083</v>
      </c>
      <c r="H58" s="14" t="s">
        <v>92</v>
      </c>
      <c r="I58" s="13" t="s">
        <v>790</v>
      </c>
      <c r="J58" s="14" t="s">
        <v>791</v>
      </c>
      <c r="K58" s="51" t="s">
        <v>720</v>
      </c>
      <c r="L58" s="51" t="s">
        <v>792</v>
      </c>
      <c r="M58" s="14" t="s">
        <v>793</v>
      </c>
      <c r="N58" s="51">
        <v>3</v>
      </c>
      <c r="O58" s="14" t="s">
        <v>794</v>
      </c>
      <c r="P58" s="14" t="s">
        <v>795</v>
      </c>
      <c r="Q58" s="13" t="s">
        <v>712</v>
      </c>
      <c r="R58" s="13" t="s">
        <v>796</v>
      </c>
      <c r="S58" s="22" t="s">
        <v>0</v>
      </c>
      <c r="T58" s="22" t="s">
        <v>1</v>
      </c>
      <c r="U58" s="13" t="s">
        <v>714</v>
      </c>
      <c r="V58" s="22" t="s">
        <v>715</v>
      </c>
      <c r="W58" s="99" t="s">
        <v>2</v>
      </c>
      <c r="X58" s="99" t="s">
        <v>14</v>
      </c>
      <c r="Y58" s="75" t="s">
        <v>454</v>
      </c>
      <c r="Z58" s="75" t="s">
        <v>233</v>
      </c>
      <c r="AA58" s="75" t="s">
        <v>337</v>
      </c>
      <c r="AB58" s="52">
        <v>16</v>
      </c>
      <c r="AC58" s="52"/>
      <c r="AD58" s="22" t="s">
        <v>716</v>
      </c>
      <c r="AE58" s="52"/>
      <c r="AF58" s="150" t="s">
        <v>797</v>
      </c>
      <c r="AG58" s="151" t="s">
        <v>798</v>
      </c>
      <c r="AH58" s="103" t="s">
        <v>107</v>
      </c>
      <c r="AI58" s="1" t="e">
        <f>Table1[[#This Row],[Efforts with out AI ]]-Table1[[#This Row],[Efforts with AI]]</f>
        <v>#VALUE!</v>
      </c>
      <c r="AJ58" s="2"/>
    </row>
    <row r="59" spans="1:36" ht="72.75">
      <c r="A59" s="12">
        <f>ROW() - ROW(Table1[[#Headers],[S.No.]])</f>
        <v>58</v>
      </c>
      <c r="B59" s="46" t="s">
        <v>48</v>
      </c>
      <c r="C59" s="46" t="s">
        <v>799</v>
      </c>
      <c r="D59" s="46" t="s">
        <v>800</v>
      </c>
      <c r="E59" s="46" t="s">
        <v>801</v>
      </c>
      <c r="F59" s="47" t="s">
        <v>802</v>
      </c>
      <c r="G59" s="46">
        <v>45949</v>
      </c>
      <c r="H59" s="47" t="s">
        <v>803</v>
      </c>
      <c r="I59" s="46" t="s">
        <v>804</v>
      </c>
      <c r="J59" s="47" t="s">
        <v>805</v>
      </c>
      <c r="K59" s="48">
        <v>4</v>
      </c>
      <c r="L59" s="48">
        <v>1</v>
      </c>
      <c r="M59" s="47" t="s">
        <v>806</v>
      </c>
      <c r="N59" s="48"/>
      <c r="O59" s="47" t="s">
        <v>807</v>
      </c>
      <c r="P59" s="47" t="s">
        <v>808</v>
      </c>
      <c r="Q59" s="46" t="s">
        <v>809</v>
      </c>
      <c r="R59" s="46" t="s">
        <v>810</v>
      </c>
      <c r="S59" s="49" t="s">
        <v>0</v>
      </c>
      <c r="T59" s="49" t="s">
        <v>10</v>
      </c>
      <c r="U59" s="49" t="s">
        <v>811</v>
      </c>
      <c r="V59" s="49" t="s">
        <v>715</v>
      </c>
      <c r="W59" s="99" t="s">
        <v>2</v>
      </c>
      <c r="X59" s="99" t="s">
        <v>3</v>
      </c>
      <c r="Y59" s="59" t="s">
        <v>232</v>
      </c>
      <c r="Z59" s="59" t="s">
        <v>233</v>
      </c>
      <c r="AA59" s="59" t="s">
        <v>280</v>
      </c>
      <c r="AB59" s="50">
        <v>3</v>
      </c>
      <c r="AC59" s="50"/>
      <c r="AD59" s="49" t="s">
        <v>812</v>
      </c>
      <c r="AE59" s="50"/>
      <c r="AF59" s="57" t="s">
        <v>7</v>
      </c>
      <c r="AG59" s="57" t="s">
        <v>235</v>
      </c>
      <c r="AH59" s="103" t="s">
        <v>107</v>
      </c>
      <c r="AI59" s="1">
        <f>Table1[[#This Row],[Efforts with out AI ]]-Table1[[#This Row],[Efforts with AI]]</f>
        <v>3</v>
      </c>
      <c r="AJ59" s="2"/>
    </row>
    <row r="60" spans="1:36" ht="72.75">
      <c r="A60" s="27">
        <f>ROW() - ROW(Table1[[#Headers],[S.No.]])</f>
        <v>59</v>
      </c>
      <c r="B60" s="13" t="s">
        <v>48</v>
      </c>
      <c r="C60" s="13" t="s">
        <v>799</v>
      </c>
      <c r="D60" s="43" t="s">
        <v>813</v>
      </c>
      <c r="E60" s="13" t="s">
        <v>814</v>
      </c>
      <c r="F60" s="14" t="s">
        <v>815</v>
      </c>
      <c r="G60" s="43">
        <v>45949</v>
      </c>
      <c r="H60" s="14" t="s">
        <v>803</v>
      </c>
      <c r="I60" s="13" t="s">
        <v>804</v>
      </c>
      <c r="J60" s="14" t="s">
        <v>805</v>
      </c>
      <c r="K60" s="51">
        <v>8</v>
      </c>
      <c r="L60" s="51">
        <v>2</v>
      </c>
      <c r="M60" s="14" t="s">
        <v>816</v>
      </c>
      <c r="N60" s="51"/>
      <c r="O60" s="14" t="s">
        <v>817</v>
      </c>
      <c r="P60" s="14" t="s">
        <v>818</v>
      </c>
      <c r="Q60" s="13" t="s">
        <v>809</v>
      </c>
      <c r="R60" s="13" t="s">
        <v>819</v>
      </c>
      <c r="S60" s="22" t="s">
        <v>0</v>
      </c>
      <c r="T60" s="22" t="s">
        <v>10</v>
      </c>
      <c r="U60" s="44" t="s">
        <v>811</v>
      </c>
      <c r="V60" s="22" t="s">
        <v>715</v>
      </c>
      <c r="W60" s="99" t="s">
        <v>2</v>
      </c>
      <c r="X60" s="99" t="s">
        <v>3</v>
      </c>
      <c r="Y60" s="75" t="s">
        <v>232</v>
      </c>
      <c r="Z60" s="75" t="s">
        <v>233</v>
      </c>
      <c r="AA60" s="75" t="s">
        <v>348</v>
      </c>
      <c r="AB60" s="52">
        <v>6</v>
      </c>
      <c r="AC60" s="52"/>
      <c r="AD60" s="22" t="s">
        <v>812</v>
      </c>
      <c r="AE60" s="52"/>
      <c r="AF60" s="57" t="s">
        <v>7</v>
      </c>
      <c r="AG60" s="57" t="s">
        <v>235</v>
      </c>
      <c r="AH60" s="103" t="s">
        <v>107</v>
      </c>
      <c r="AI60" s="1">
        <f>Table1[[#This Row],[Efforts with out AI ]]-Table1[[#This Row],[Efforts with AI]]</f>
        <v>6</v>
      </c>
      <c r="AJ60" s="2"/>
    </row>
    <row r="61" spans="1:36" ht="72.75">
      <c r="A61" s="12">
        <f>ROW() - ROW(Table1[[#Headers],[S.No.]])</f>
        <v>60</v>
      </c>
      <c r="B61" s="46" t="s">
        <v>48</v>
      </c>
      <c r="C61" s="46" t="s">
        <v>799</v>
      </c>
      <c r="D61" s="46" t="s">
        <v>820</v>
      </c>
      <c r="E61" s="46" t="s">
        <v>821</v>
      </c>
      <c r="F61" s="47" t="s">
        <v>822</v>
      </c>
      <c r="G61" s="46">
        <v>45949</v>
      </c>
      <c r="H61" s="47" t="s">
        <v>803</v>
      </c>
      <c r="I61" s="46" t="s">
        <v>804</v>
      </c>
      <c r="J61" s="47" t="s">
        <v>805</v>
      </c>
      <c r="K61" s="48">
        <v>3</v>
      </c>
      <c r="L61" s="48">
        <v>1</v>
      </c>
      <c r="M61" s="47" t="s">
        <v>823</v>
      </c>
      <c r="N61" s="48"/>
      <c r="O61" s="47" t="s">
        <v>824</v>
      </c>
      <c r="P61" s="47" t="s">
        <v>825</v>
      </c>
      <c r="Q61" s="46" t="s">
        <v>809</v>
      </c>
      <c r="R61" s="46" t="s">
        <v>826</v>
      </c>
      <c r="S61" s="49" t="s">
        <v>0</v>
      </c>
      <c r="T61" s="49" t="s">
        <v>10</v>
      </c>
      <c r="U61" s="49" t="s">
        <v>811</v>
      </c>
      <c r="V61" s="49" t="s">
        <v>715</v>
      </c>
      <c r="W61" s="99" t="s">
        <v>2</v>
      </c>
      <c r="X61" s="99" t="s">
        <v>3</v>
      </c>
      <c r="Y61" s="59" t="s">
        <v>232</v>
      </c>
      <c r="Z61" s="59" t="s">
        <v>233</v>
      </c>
      <c r="AA61" s="59" t="s">
        <v>337</v>
      </c>
      <c r="AB61" s="50">
        <v>2</v>
      </c>
      <c r="AC61" s="50"/>
      <c r="AD61" s="49" t="s">
        <v>812</v>
      </c>
      <c r="AE61" s="50"/>
      <c r="AF61" s="57" t="s">
        <v>7</v>
      </c>
      <c r="AG61" s="57" t="s">
        <v>235</v>
      </c>
      <c r="AH61" s="140" t="s">
        <v>107</v>
      </c>
      <c r="AI61" s="1">
        <f>Table1[[#This Row],[Efforts with out AI ]]-Table1[[#This Row],[Efforts with AI]]</f>
        <v>2</v>
      </c>
      <c r="AJ61" s="2"/>
    </row>
    <row r="62" spans="1:36" ht="72.75">
      <c r="A62" s="111">
        <f>ROW() - ROW(Table1[[#Headers],[S.No.]])</f>
        <v>61</v>
      </c>
      <c r="B62" s="112" t="s">
        <v>48</v>
      </c>
      <c r="C62" s="112" t="s">
        <v>799</v>
      </c>
      <c r="D62" s="113" t="s">
        <v>827</v>
      </c>
      <c r="E62" s="112" t="s">
        <v>828</v>
      </c>
      <c r="F62" s="114" t="s">
        <v>829</v>
      </c>
      <c r="G62" s="113">
        <v>45949</v>
      </c>
      <c r="H62" s="114" t="s">
        <v>803</v>
      </c>
      <c r="I62" s="112" t="s">
        <v>804</v>
      </c>
      <c r="J62" s="114" t="s">
        <v>805</v>
      </c>
      <c r="K62" s="115">
        <v>4</v>
      </c>
      <c r="L62" s="115">
        <v>1</v>
      </c>
      <c r="M62" s="114" t="s">
        <v>830</v>
      </c>
      <c r="N62" s="115"/>
      <c r="O62" s="114" t="s">
        <v>831</v>
      </c>
      <c r="P62" s="114" t="s">
        <v>832</v>
      </c>
      <c r="Q62" s="112" t="s">
        <v>809</v>
      </c>
      <c r="R62" s="112" t="s">
        <v>833</v>
      </c>
      <c r="S62" s="116" t="s">
        <v>0</v>
      </c>
      <c r="T62" s="116" t="s">
        <v>10</v>
      </c>
      <c r="U62" s="117" t="s">
        <v>811</v>
      </c>
      <c r="V62" s="116" t="s">
        <v>715</v>
      </c>
      <c r="W62" s="131" t="s">
        <v>2</v>
      </c>
      <c r="X62" s="131" t="s">
        <v>3</v>
      </c>
      <c r="Y62" s="127" t="s">
        <v>232</v>
      </c>
      <c r="Z62" s="127" t="s">
        <v>233</v>
      </c>
      <c r="AA62" s="127" t="s">
        <v>337</v>
      </c>
      <c r="AB62" s="118">
        <v>3</v>
      </c>
      <c r="AC62" s="118"/>
      <c r="AD62" s="116" t="s">
        <v>812</v>
      </c>
      <c r="AE62" s="118"/>
      <c r="AF62" s="132" t="s">
        <v>7</v>
      </c>
      <c r="AG62" s="137" t="s">
        <v>235</v>
      </c>
      <c r="AH62" s="103" t="s">
        <v>107</v>
      </c>
      <c r="AI62" s="1">
        <f>Table1[[#This Row],[Efforts with out AI ]]-Table1[[#This Row],[Efforts with AI]]</f>
        <v>3</v>
      </c>
      <c r="AJ62" s="2"/>
    </row>
    <row r="63" spans="1:36" ht="144.75">
      <c r="A63" s="101">
        <f>ROW() - ROW(Table1[[#Headers],[S.No.]])</f>
        <v>62</v>
      </c>
      <c r="B63" s="46" t="s">
        <v>48</v>
      </c>
      <c r="C63" s="46" t="s">
        <v>799</v>
      </c>
      <c r="D63" s="46" t="s">
        <v>834</v>
      </c>
      <c r="E63" s="46" t="s">
        <v>835</v>
      </c>
      <c r="F63" s="47" t="s">
        <v>836</v>
      </c>
      <c r="G63" s="46">
        <v>45949</v>
      </c>
      <c r="H63" s="47" t="s">
        <v>803</v>
      </c>
      <c r="I63" s="46" t="s">
        <v>804</v>
      </c>
      <c r="J63" s="47" t="s">
        <v>837</v>
      </c>
      <c r="K63" s="48">
        <v>3</v>
      </c>
      <c r="L63" s="48">
        <v>1</v>
      </c>
      <c r="M63" s="47" t="s">
        <v>838</v>
      </c>
      <c r="N63" s="48"/>
      <c r="O63" s="47" t="s">
        <v>839</v>
      </c>
      <c r="P63" s="47" t="s">
        <v>840</v>
      </c>
      <c r="Q63" s="46" t="s">
        <v>809</v>
      </c>
      <c r="R63" s="46" t="s">
        <v>841</v>
      </c>
      <c r="S63" s="49" t="s">
        <v>0</v>
      </c>
      <c r="T63" s="49" t="s">
        <v>10</v>
      </c>
      <c r="U63" s="49" t="s">
        <v>811</v>
      </c>
      <c r="V63" s="49" t="s">
        <v>715</v>
      </c>
      <c r="W63" s="129" t="s">
        <v>2</v>
      </c>
      <c r="X63" s="129" t="s">
        <v>3</v>
      </c>
      <c r="Y63" s="143" t="s">
        <v>232</v>
      </c>
      <c r="Z63" s="143" t="s">
        <v>233</v>
      </c>
      <c r="AA63" s="143" t="s">
        <v>337</v>
      </c>
      <c r="AB63" s="50">
        <v>2</v>
      </c>
      <c r="AC63" s="50"/>
      <c r="AD63" s="49" t="s">
        <v>812</v>
      </c>
      <c r="AE63" s="50"/>
      <c r="AF63" s="134" t="s">
        <v>7</v>
      </c>
      <c r="AG63" s="138" t="s">
        <v>235</v>
      </c>
      <c r="AH63" s="103" t="s">
        <v>107</v>
      </c>
      <c r="AI63" s="1">
        <f>Table1[[#This Row],[Efforts with out AI ]]-Table1[[#This Row],[Efforts with AI]]</f>
        <v>2</v>
      </c>
      <c r="AJ63" s="2"/>
    </row>
    <row r="64" spans="1:36" ht="144.75">
      <c r="A64" s="102">
        <f>ROW() - ROW(Table1[[#Headers],[S.No.]])</f>
        <v>63</v>
      </c>
      <c r="B64" s="13" t="s">
        <v>48</v>
      </c>
      <c r="C64" s="13" t="s">
        <v>799</v>
      </c>
      <c r="D64" s="43" t="s">
        <v>842</v>
      </c>
      <c r="E64" s="13" t="s">
        <v>843</v>
      </c>
      <c r="F64" s="14" t="s">
        <v>844</v>
      </c>
      <c r="G64" s="43">
        <v>45949</v>
      </c>
      <c r="H64" s="14" t="s">
        <v>803</v>
      </c>
      <c r="I64" s="13" t="s">
        <v>804</v>
      </c>
      <c r="J64" s="14" t="s">
        <v>837</v>
      </c>
      <c r="K64" s="51">
        <v>3</v>
      </c>
      <c r="L64" s="51">
        <v>1</v>
      </c>
      <c r="M64" s="14" t="s">
        <v>845</v>
      </c>
      <c r="N64" s="51"/>
      <c r="O64" s="14" t="s">
        <v>846</v>
      </c>
      <c r="P64" s="14" t="s">
        <v>847</v>
      </c>
      <c r="Q64" s="13" t="s">
        <v>809</v>
      </c>
      <c r="R64" s="13" t="s">
        <v>848</v>
      </c>
      <c r="S64" s="22" t="s">
        <v>0</v>
      </c>
      <c r="T64" s="22" t="s">
        <v>10</v>
      </c>
      <c r="U64" s="44" t="s">
        <v>811</v>
      </c>
      <c r="V64" s="22" t="s">
        <v>715</v>
      </c>
      <c r="W64" s="131" t="s">
        <v>2</v>
      </c>
      <c r="X64" s="131" t="s">
        <v>3</v>
      </c>
      <c r="Y64" s="145" t="s">
        <v>232</v>
      </c>
      <c r="Z64" s="145" t="s">
        <v>233</v>
      </c>
      <c r="AA64" s="145" t="s">
        <v>331</v>
      </c>
      <c r="AB64" s="52">
        <v>2</v>
      </c>
      <c r="AC64" s="52"/>
      <c r="AD64" s="22" t="s">
        <v>812</v>
      </c>
      <c r="AE64" s="52"/>
      <c r="AF64" s="134" t="s">
        <v>7</v>
      </c>
      <c r="AG64" s="138" t="s">
        <v>235</v>
      </c>
      <c r="AH64" s="103" t="s">
        <v>107</v>
      </c>
      <c r="AI64" s="1">
        <f>Table1[[#This Row],[Efforts with out AI ]]-Table1[[#This Row],[Efforts with AI]]</f>
        <v>2</v>
      </c>
      <c r="AJ64" s="2"/>
    </row>
    <row r="65" spans="1:36" ht="101.25">
      <c r="A65" s="101">
        <f>ROW() - ROW(Table1[[#Headers],[S.No.]])</f>
        <v>64</v>
      </c>
      <c r="B65" s="46" t="s">
        <v>48</v>
      </c>
      <c r="C65" s="46" t="s">
        <v>799</v>
      </c>
      <c r="D65" s="46" t="s">
        <v>849</v>
      </c>
      <c r="E65" s="46" t="s">
        <v>850</v>
      </c>
      <c r="F65" s="47" t="s">
        <v>851</v>
      </c>
      <c r="G65" s="46">
        <v>45949</v>
      </c>
      <c r="H65" s="47" t="s">
        <v>803</v>
      </c>
      <c r="I65" s="46" t="s">
        <v>804</v>
      </c>
      <c r="J65" s="47" t="s">
        <v>852</v>
      </c>
      <c r="K65" s="48">
        <v>6</v>
      </c>
      <c r="L65" s="48">
        <v>2</v>
      </c>
      <c r="M65" s="47" t="s">
        <v>853</v>
      </c>
      <c r="N65" s="48"/>
      <c r="O65" s="47" t="s">
        <v>854</v>
      </c>
      <c r="P65" s="47" t="s">
        <v>855</v>
      </c>
      <c r="Q65" s="46" t="s">
        <v>809</v>
      </c>
      <c r="R65" s="46" t="s">
        <v>856</v>
      </c>
      <c r="S65" s="49" t="s">
        <v>0</v>
      </c>
      <c r="T65" s="49" t="s">
        <v>10</v>
      </c>
      <c r="U65" s="49" t="s">
        <v>811</v>
      </c>
      <c r="V65" s="49" t="s">
        <v>715</v>
      </c>
      <c r="W65" s="129" t="s">
        <v>2</v>
      </c>
      <c r="X65" s="129" t="s">
        <v>3</v>
      </c>
      <c r="Y65" s="143" t="s">
        <v>232</v>
      </c>
      <c r="Z65" s="143" t="s">
        <v>233</v>
      </c>
      <c r="AA65" s="143" t="s">
        <v>280</v>
      </c>
      <c r="AB65" s="50">
        <v>4</v>
      </c>
      <c r="AC65" s="50"/>
      <c r="AD65" s="49" t="s">
        <v>812</v>
      </c>
      <c r="AE65" s="50"/>
      <c r="AF65" s="134" t="s">
        <v>7</v>
      </c>
      <c r="AG65" s="138" t="s">
        <v>235</v>
      </c>
      <c r="AH65" s="103" t="s">
        <v>107</v>
      </c>
      <c r="AI65" s="1">
        <f>Table1[[#This Row],[Efforts with out AI ]]-Table1[[#This Row],[Efforts with AI]]</f>
        <v>4</v>
      </c>
      <c r="AJ65" s="2"/>
    </row>
    <row r="66" spans="1:36" ht="144.75">
      <c r="A66" s="101">
        <f>ROW() - ROW(Table1[[#Headers],[S.No.]])</f>
        <v>65</v>
      </c>
      <c r="B66" s="13" t="s">
        <v>48</v>
      </c>
      <c r="C66" s="13" t="s">
        <v>799</v>
      </c>
      <c r="D66" s="43" t="s">
        <v>857</v>
      </c>
      <c r="E66" s="13" t="s">
        <v>858</v>
      </c>
      <c r="F66" s="14" t="s">
        <v>859</v>
      </c>
      <c r="G66" s="43">
        <v>45949</v>
      </c>
      <c r="H66" s="14" t="s">
        <v>803</v>
      </c>
      <c r="I66" s="13" t="s">
        <v>804</v>
      </c>
      <c r="J66" s="14" t="s">
        <v>852</v>
      </c>
      <c r="K66" s="51">
        <v>4</v>
      </c>
      <c r="L66" s="51">
        <v>1</v>
      </c>
      <c r="M66" s="14" t="s">
        <v>860</v>
      </c>
      <c r="N66" s="51"/>
      <c r="O66" s="14" t="s">
        <v>861</v>
      </c>
      <c r="P66" s="14" t="s">
        <v>862</v>
      </c>
      <c r="Q66" s="13" t="s">
        <v>809</v>
      </c>
      <c r="R66" s="13" t="s">
        <v>863</v>
      </c>
      <c r="S66" s="22" t="s">
        <v>0</v>
      </c>
      <c r="T66" s="22" t="s">
        <v>10</v>
      </c>
      <c r="U66" s="44" t="s">
        <v>811</v>
      </c>
      <c r="V66" s="22" t="s">
        <v>715</v>
      </c>
      <c r="W66" s="131" t="s">
        <v>2</v>
      </c>
      <c r="X66" s="131" t="s">
        <v>3</v>
      </c>
      <c r="Y66" s="145" t="s">
        <v>232</v>
      </c>
      <c r="Z66" s="145" t="s">
        <v>233</v>
      </c>
      <c r="AA66" s="145" t="s">
        <v>280</v>
      </c>
      <c r="AB66" s="52">
        <v>3</v>
      </c>
      <c r="AC66" s="52"/>
      <c r="AD66" s="22" t="s">
        <v>812</v>
      </c>
      <c r="AE66" s="52"/>
      <c r="AF66" s="134" t="s">
        <v>7</v>
      </c>
      <c r="AG66" s="138" t="s">
        <v>235</v>
      </c>
      <c r="AH66" s="103" t="s">
        <v>107</v>
      </c>
      <c r="AI66" s="1">
        <f>Table1[[#This Row],[Efforts with out AI ]]-Table1[[#This Row],[Efforts with AI]]</f>
        <v>3</v>
      </c>
      <c r="AJ66" s="2"/>
    </row>
    <row r="67" spans="1:36" ht="115.5">
      <c r="A67" s="101">
        <f>ROW() - ROW(Table1[[#Headers],[S.No.]])</f>
        <v>66</v>
      </c>
      <c r="B67" s="46" t="s">
        <v>48</v>
      </c>
      <c r="C67" s="46" t="s">
        <v>799</v>
      </c>
      <c r="D67" s="46" t="s">
        <v>864</v>
      </c>
      <c r="E67" s="46" t="s">
        <v>865</v>
      </c>
      <c r="F67" s="47" t="s">
        <v>866</v>
      </c>
      <c r="G67" s="46">
        <v>45949</v>
      </c>
      <c r="H67" s="47" t="s">
        <v>803</v>
      </c>
      <c r="I67" s="46" t="s">
        <v>804</v>
      </c>
      <c r="J67" s="47" t="s">
        <v>837</v>
      </c>
      <c r="K67" s="48">
        <v>4</v>
      </c>
      <c r="L67" s="48">
        <v>1</v>
      </c>
      <c r="M67" s="47" t="s">
        <v>867</v>
      </c>
      <c r="N67" s="48"/>
      <c r="O67" s="47" t="s">
        <v>868</v>
      </c>
      <c r="P67" s="47" t="s">
        <v>869</v>
      </c>
      <c r="Q67" s="46" t="s">
        <v>809</v>
      </c>
      <c r="R67" s="46" t="s">
        <v>870</v>
      </c>
      <c r="S67" s="49" t="s">
        <v>0</v>
      </c>
      <c r="T67" s="49" t="s">
        <v>10</v>
      </c>
      <c r="U67" s="49" t="s">
        <v>811</v>
      </c>
      <c r="V67" s="49" t="s">
        <v>715</v>
      </c>
      <c r="W67" s="129" t="s">
        <v>2</v>
      </c>
      <c r="X67" s="129" t="s">
        <v>3</v>
      </c>
      <c r="Y67" s="143" t="s">
        <v>232</v>
      </c>
      <c r="Z67" s="143" t="s">
        <v>233</v>
      </c>
      <c r="AA67" s="143" t="s">
        <v>337</v>
      </c>
      <c r="AB67" s="50">
        <v>3</v>
      </c>
      <c r="AC67" s="50"/>
      <c r="AD67" s="49" t="s">
        <v>812</v>
      </c>
      <c r="AE67" s="50"/>
      <c r="AF67" s="134" t="s">
        <v>7</v>
      </c>
      <c r="AG67" s="138" t="s">
        <v>235</v>
      </c>
      <c r="AH67" s="103" t="s">
        <v>107</v>
      </c>
      <c r="AI67" s="1">
        <f>Table1[[#This Row],[Efforts with out AI ]]-Table1[[#This Row],[Efforts with AI]]</f>
        <v>3</v>
      </c>
      <c r="AJ67" s="2"/>
    </row>
    <row r="68" spans="1:36" ht="115.5">
      <c r="A68" s="102">
        <f>ROW() - ROW(Table1[[#Headers],[S.No.]])</f>
        <v>67</v>
      </c>
      <c r="B68" s="13" t="s">
        <v>48</v>
      </c>
      <c r="C68" s="13" t="s">
        <v>799</v>
      </c>
      <c r="D68" s="43" t="s">
        <v>871</v>
      </c>
      <c r="E68" s="13" t="s">
        <v>872</v>
      </c>
      <c r="F68" s="14" t="s">
        <v>873</v>
      </c>
      <c r="G68" s="43">
        <v>45949</v>
      </c>
      <c r="H68" s="14" t="s">
        <v>803</v>
      </c>
      <c r="I68" s="13" t="s">
        <v>804</v>
      </c>
      <c r="J68" s="14" t="s">
        <v>837</v>
      </c>
      <c r="K68" s="51">
        <v>4</v>
      </c>
      <c r="L68" s="51">
        <v>1</v>
      </c>
      <c r="M68" s="14" t="s">
        <v>874</v>
      </c>
      <c r="N68" s="51"/>
      <c r="O68" s="14" t="s">
        <v>875</v>
      </c>
      <c r="P68" s="14" t="s">
        <v>876</v>
      </c>
      <c r="Q68" s="13" t="s">
        <v>809</v>
      </c>
      <c r="R68" s="13" t="s">
        <v>877</v>
      </c>
      <c r="S68" s="22" t="s">
        <v>0</v>
      </c>
      <c r="T68" s="22" t="s">
        <v>10</v>
      </c>
      <c r="U68" s="44" t="s">
        <v>811</v>
      </c>
      <c r="V68" s="22" t="s">
        <v>715</v>
      </c>
      <c r="W68" s="131" t="s">
        <v>2</v>
      </c>
      <c r="X68" s="131" t="s">
        <v>3</v>
      </c>
      <c r="Y68" s="143" t="s">
        <v>232</v>
      </c>
      <c r="Z68" s="143" t="s">
        <v>233</v>
      </c>
      <c r="AA68" s="143" t="s">
        <v>234</v>
      </c>
      <c r="AB68" s="52">
        <v>3</v>
      </c>
      <c r="AC68" s="52"/>
      <c r="AD68" s="22" t="s">
        <v>812</v>
      </c>
      <c r="AE68" s="52"/>
      <c r="AF68" s="134" t="s">
        <v>7</v>
      </c>
      <c r="AG68" s="138" t="s">
        <v>235</v>
      </c>
      <c r="AH68" s="103" t="s">
        <v>107</v>
      </c>
      <c r="AI68" s="1">
        <f>Table1[[#This Row],[Efforts with out AI ]]-Table1[[#This Row],[Efforts with AI]]</f>
        <v>3</v>
      </c>
      <c r="AJ68" s="2"/>
    </row>
    <row r="69" spans="1:36" ht="72.75">
      <c r="A69" s="101">
        <f>ROW() - ROW(Table1[[#Headers],[S.No.]])</f>
        <v>68</v>
      </c>
      <c r="B69" s="46" t="s">
        <v>48</v>
      </c>
      <c r="C69" s="46" t="s">
        <v>799</v>
      </c>
      <c r="D69" s="46" t="s">
        <v>878</v>
      </c>
      <c r="E69" s="46" t="s">
        <v>879</v>
      </c>
      <c r="F69" s="47" t="s">
        <v>880</v>
      </c>
      <c r="G69" s="46">
        <v>45949</v>
      </c>
      <c r="H69" s="47" t="s">
        <v>803</v>
      </c>
      <c r="I69" s="46" t="s">
        <v>804</v>
      </c>
      <c r="J69" s="47" t="s">
        <v>881</v>
      </c>
      <c r="K69" s="48">
        <v>5</v>
      </c>
      <c r="L69" s="48">
        <v>1</v>
      </c>
      <c r="M69" s="47" t="s">
        <v>882</v>
      </c>
      <c r="N69" s="48"/>
      <c r="O69" s="47" t="s">
        <v>883</v>
      </c>
      <c r="P69" s="47" t="s">
        <v>884</v>
      </c>
      <c r="Q69" s="46" t="s">
        <v>809</v>
      </c>
      <c r="R69" s="46" t="s">
        <v>885</v>
      </c>
      <c r="S69" s="49" t="s">
        <v>0</v>
      </c>
      <c r="T69" s="49" t="s">
        <v>10</v>
      </c>
      <c r="U69" s="49" t="s">
        <v>811</v>
      </c>
      <c r="V69" s="49" t="s">
        <v>715</v>
      </c>
      <c r="W69" s="129" t="s">
        <v>2</v>
      </c>
      <c r="X69" s="129" t="s">
        <v>3</v>
      </c>
      <c r="Y69" s="145" t="s">
        <v>232</v>
      </c>
      <c r="Z69" s="145" t="s">
        <v>233</v>
      </c>
      <c r="AA69" s="145" t="s">
        <v>280</v>
      </c>
      <c r="AB69" s="50">
        <v>4</v>
      </c>
      <c r="AC69" s="50"/>
      <c r="AD69" s="49" t="s">
        <v>812</v>
      </c>
      <c r="AE69" s="50"/>
      <c r="AF69" s="134" t="s">
        <v>7</v>
      </c>
      <c r="AG69" s="138" t="s">
        <v>235</v>
      </c>
      <c r="AH69" s="103" t="s">
        <v>107</v>
      </c>
      <c r="AI69" s="1">
        <f>Table1[[#This Row],[Efforts with out AI ]]-Table1[[#This Row],[Efforts with AI]]</f>
        <v>4</v>
      </c>
      <c r="AJ69" s="2"/>
    </row>
    <row r="70" spans="1:36" ht="72.75">
      <c r="A70" s="101">
        <f>ROW() - ROW(Table1[[#Headers],[S.No.]])</f>
        <v>69</v>
      </c>
      <c r="B70" s="13" t="s">
        <v>48</v>
      </c>
      <c r="C70" s="13" t="s">
        <v>799</v>
      </c>
      <c r="D70" s="43" t="s">
        <v>886</v>
      </c>
      <c r="E70" s="13" t="s">
        <v>887</v>
      </c>
      <c r="F70" s="14" t="s">
        <v>888</v>
      </c>
      <c r="G70" s="43">
        <v>45949</v>
      </c>
      <c r="H70" s="14" t="s">
        <v>92</v>
      </c>
      <c r="I70" s="13" t="s">
        <v>889</v>
      </c>
      <c r="J70" s="14" t="s">
        <v>890</v>
      </c>
      <c r="K70" s="51">
        <v>6</v>
      </c>
      <c r="L70" s="51">
        <v>2</v>
      </c>
      <c r="M70" s="14" t="s">
        <v>891</v>
      </c>
      <c r="N70" s="51"/>
      <c r="O70" s="14" t="s">
        <v>892</v>
      </c>
      <c r="P70" s="14" t="s">
        <v>893</v>
      </c>
      <c r="Q70" s="13" t="s">
        <v>809</v>
      </c>
      <c r="R70" s="13" t="s">
        <v>894</v>
      </c>
      <c r="S70" s="22" t="s">
        <v>0</v>
      </c>
      <c r="T70" s="22" t="s">
        <v>10</v>
      </c>
      <c r="U70" s="44" t="s">
        <v>895</v>
      </c>
      <c r="V70" s="22" t="s">
        <v>715</v>
      </c>
      <c r="W70" s="131" t="s">
        <v>2</v>
      </c>
      <c r="X70" s="131" t="s">
        <v>3</v>
      </c>
      <c r="Y70" s="143" t="s">
        <v>232</v>
      </c>
      <c r="Z70" s="143" t="s">
        <v>233</v>
      </c>
      <c r="AA70" s="143" t="s">
        <v>337</v>
      </c>
      <c r="AB70" s="52">
        <v>4</v>
      </c>
      <c r="AC70" s="52"/>
      <c r="AD70" s="22" t="s">
        <v>896</v>
      </c>
      <c r="AE70" s="52"/>
      <c r="AF70" s="134" t="s">
        <v>7</v>
      </c>
      <c r="AG70" s="138" t="s">
        <v>235</v>
      </c>
      <c r="AH70" s="103" t="s">
        <v>107</v>
      </c>
      <c r="AI70" s="1">
        <f>Table1[[#This Row],[Efforts with out AI ]]-Table1[[#This Row],[Efforts with AI]]</f>
        <v>4</v>
      </c>
      <c r="AJ70" s="2"/>
    </row>
    <row r="71" spans="1:36" s="7" customFormat="1" ht="101.25">
      <c r="A71" s="101">
        <f>ROW() - ROW(Table1[[#Headers],[S.No.]])</f>
        <v>70</v>
      </c>
      <c r="B71" s="47" t="s">
        <v>48</v>
      </c>
      <c r="C71" s="47" t="s">
        <v>799</v>
      </c>
      <c r="D71" s="47" t="s">
        <v>897</v>
      </c>
      <c r="E71" s="47" t="s">
        <v>898</v>
      </c>
      <c r="F71" s="47" t="s">
        <v>899</v>
      </c>
      <c r="G71" s="47">
        <v>46090</v>
      </c>
      <c r="H71" s="47" t="s">
        <v>92</v>
      </c>
      <c r="I71" s="47" t="s">
        <v>900</v>
      </c>
      <c r="J71" s="47" t="s">
        <v>553</v>
      </c>
      <c r="K71" s="48">
        <v>10</v>
      </c>
      <c r="L71" s="48">
        <v>3</v>
      </c>
      <c r="M71" s="47" t="s">
        <v>901</v>
      </c>
      <c r="N71" s="48"/>
      <c r="O71" s="47" t="s">
        <v>902</v>
      </c>
      <c r="P71" s="47" t="s">
        <v>903</v>
      </c>
      <c r="Q71" s="47" t="s">
        <v>809</v>
      </c>
      <c r="R71" s="47" t="s">
        <v>904</v>
      </c>
      <c r="S71" s="47" t="s">
        <v>0</v>
      </c>
      <c r="T71" s="47" t="s">
        <v>10</v>
      </c>
      <c r="U71" s="47" t="s">
        <v>905</v>
      </c>
      <c r="V71" s="47" t="s">
        <v>715</v>
      </c>
      <c r="W71" s="131" t="s">
        <v>2</v>
      </c>
      <c r="X71" s="129" t="s">
        <v>3</v>
      </c>
      <c r="Y71" s="152" t="s">
        <v>232</v>
      </c>
      <c r="Z71" s="152" t="s">
        <v>233</v>
      </c>
      <c r="AA71" s="152" t="s">
        <v>337</v>
      </c>
      <c r="AB71" s="48">
        <v>7</v>
      </c>
      <c r="AC71" s="48"/>
      <c r="AD71" s="47" t="s">
        <v>812</v>
      </c>
      <c r="AE71" s="48"/>
      <c r="AF71" s="134" t="s">
        <v>7</v>
      </c>
      <c r="AG71" s="138" t="s">
        <v>235</v>
      </c>
      <c r="AH71" s="103" t="s">
        <v>107</v>
      </c>
      <c r="AI71" s="1">
        <f>Table1[[#This Row],[Efforts with out AI ]]-Table1[[#This Row],[Efforts with AI]]</f>
        <v>7</v>
      </c>
      <c r="AJ71" s="2"/>
    </row>
    <row r="72" spans="1:36" s="7" customFormat="1" ht="72.75">
      <c r="A72" s="102">
        <f>ROW() - ROW(Table1[[#Headers],[S.No.]])</f>
        <v>71</v>
      </c>
      <c r="B72" s="14" t="s">
        <v>48</v>
      </c>
      <c r="C72" s="14" t="s">
        <v>799</v>
      </c>
      <c r="D72" s="14" t="s">
        <v>906</v>
      </c>
      <c r="E72" s="14" t="s">
        <v>907</v>
      </c>
      <c r="F72" s="14" t="s">
        <v>908</v>
      </c>
      <c r="G72" s="14" t="s">
        <v>909</v>
      </c>
      <c r="H72" s="14" t="s">
        <v>910</v>
      </c>
      <c r="I72" s="14" t="s">
        <v>911</v>
      </c>
      <c r="J72" s="14" t="s">
        <v>912</v>
      </c>
      <c r="K72" s="51">
        <v>6</v>
      </c>
      <c r="L72" s="51">
        <v>1</v>
      </c>
      <c r="M72" s="14" t="s">
        <v>913</v>
      </c>
      <c r="N72" s="51"/>
      <c r="O72" s="14" t="s">
        <v>914</v>
      </c>
      <c r="P72" s="14" t="s">
        <v>915</v>
      </c>
      <c r="Q72" s="14" t="s">
        <v>916</v>
      </c>
      <c r="R72" s="14" t="s">
        <v>917</v>
      </c>
      <c r="S72" s="14" t="s">
        <v>0</v>
      </c>
      <c r="T72" s="14" t="s">
        <v>10</v>
      </c>
      <c r="U72" s="14" t="s">
        <v>918</v>
      </c>
      <c r="V72" s="14" t="s">
        <v>715</v>
      </c>
      <c r="W72" s="131" t="s">
        <v>2</v>
      </c>
      <c r="X72" s="129" t="s">
        <v>3</v>
      </c>
      <c r="Y72" s="153" t="s">
        <v>232</v>
      </c>
      <c r="Z72" s="153" t="s">
        <v>233</v>
      </c>
      <c r="AA72" s="153" t="s">
        <v>250</v>
      </c>
      <c r="AB72" s="51">
        <v>5</v>
      </c>
      <c r="AC72" s="95"/>
      <c r="AD72" s="14" t="s">
        <v>812</v>
      </c>
      <c r="AE72" s="51"/>
      <c r="AF72" s="134" t="s">
        <v>7</v>
      </c>
      <c r="AG72" s="138" t="s">
        <v>235</v>
      </c>
      <c r="AH72" s="103" t="s">
        <v>107</v>
      </c>
      <c r="AI72" s="1">
        <f>Table1[[#This Row],[Efforts with out AI ]]-Table1[[#This Row],[Efforts with AI]]</f>
        <v>5</v>
      </c>
      <c r="AJ72" s="2"/>
    </row>
    <row r="73" spans="1:36" s="7" customFormat="1" ht="288.75">
      <c r="A73" s="101">
        <f>ROW() - ROW(Table1[[#Headers],[S.No.]])</f>
        <v>72</v>
      </c>
      <c r="B73" s="47" t="s">
        <v>48</v>
      </c>
      <c r="C73" s="47" t="s">
        <v>799</v>
      </c>
      <c r="D73" s="47" t="s">
        <v>919</v>
      </c>
      <c r="E73" s="47" t="s">
        <v>920</v>
      </c>
      <c r="F73" s="47" t="s">
        <v>921</v>
      </c>
      <c r="G73" s="47">
        <v>46024</v>
      </c>
      <c r="H73" s="47" t="s">
        <v>922</v>
      </c>
      <c r="I73" s="47" t="s">
        <v>911</v>
      </c>
      <c r="J73" s="47"/>
      <c r="K73" s="48">
        <v>12</v>
      </c>
      <c r="L73" s="48">
        <v>5</v>
      </c>
      <c r="M73" s="47" t="s">
        <v>923</v>
      </c>
      <c r="N73" s="48"/>
      <c r="O73" s="47" t="s">
        <v>924</v>
      </c>
      <c r="P73" s="47" t="s">
        <v>925</v>
      </c>
      <c r="Q73" s="47" t="s">
        <v>926</v>
      </c>
      <c r="R73" s="47" t="s">
        <v>927</v>
      </c>
      <c r="S73" s="47" t="s">
        <v>0</v>
      </c>
      <c r="T73" s="47" t="s">
        <v>10</v>
      </c>
      <c r="U73" s="47" t="s">
        <v>928</v>
      </c>
      <c r="V73" s="47" t="s">
        <v>715</v>
      </c>
      <c r="W73" s="131" t="s">
        <v>2</v>
      </c>
      <c r="X73" s="129" t="s">
        <v>3</v>
      </c>
      <c r="Y73" s="143" t="s">
        <v>232</v>
      </c>
      <c r="Z73" s="143" t="s">
        <v>233</v>
      </c>
      <c r="AA73" s="143" t="s">
        <v>250</v>
      </c>
      <c r="AB73" s="48">
        <v>7</v>
      </c>
      <c r="AC73" s="48"/>
      <c r="AD73" s="47" t="s">
        <v>896</v>
      </c>
      <c r="AE73" s="48"/>
      <c r="AF73" s="134" t="s">
        <v>7</v>
      </c>
      <c r="AG73" s="138" t="s">
        <v>235</v>
      </c>
      <c r="AH73" s="103" t="s">
        <v>107</v>
      </c>
      <c r="AI73" s="1">
        <f>Table1[[#This Row],[Efforts with out AI ]]-Table1[[#This Row],[Efforts with AI]]</f>
        <v>7</v>
      </c>
      <c r="AJ73" s="2"/>
    </row>
    <row r="74" spans="1:36" ht="72.75">
      <c r="A74" s="101">
        <f>ROW() - ROW(Table1[[#Headers],[S.No.]])</f>
        <v>73</v>
      </c>
      <c r="B74" s="13" t="s">
        <v>48</v>
      </c>
      <c r="C74" s="13" t="s">
        <v>799</v>
      </c>
      <c r="D74" s="13" t="s">
        <v>929</v>
      </c>
      <c r="E74" s="13" t="s">
        <v>930</v>
      </c>
      <c r="F74" s="14" t="s">
        <v>931</v>
      </c>
      <c r="G74" s="13">
        <v>45949</v>
      </c>
      <c r="H74" s="14" t="s">
        <v>92</v>
      </c>
      <c r="I74" s="13" t="s">
        <v>889</v>
      </c>
      <c r="J74" s="14" t="s">
        <v>932</v>
      </c>
      <c r="K74" s="51">
        <v>6</v>
      </c>
      <c r="L74" s="51">
        <v>2</v>
      </c>
      <c r="M74" s="14" t="s">
        <v>933</v>
      </c>
      <c r="N74" s="51"/>
      <c r="O74" s="14" t="s">
        <v>934</v>
      </c>
      <c r="P74" s="14" t="s">
        <v>935</v>
      </c>
      <c r="Q74" s="13" t="s">
        <v>809</v>
      </c>
      <c r="R74" s="13" t="s">
        <v>936</v>
      </c>
      <c r="S74" s="22" t="s">
        <v>0</v>
      </c>
      <c r="T74" s="22" t="s">
        <v>10</v>
      </c>
      <c r="U74" s="22" t="s">
        <v>895</v>
      </c>
      <c r="V74" s="22" t="s">
        <v>715</v>
      </c>
      <c r="W74" s="131" t="s">
        <v>2</v>
      </c>
      <c r="X74" s="129" t="s">
        <v>3</v>
      </c>
      <c r="Y74" s="152" t="s">
        <v>232</v>
      </c>
      <c r="Z74" s="152" t="s">
        <v>233</v>
      </c>
      <c r="AA74" s="152" t="s">
        <v>337</v>
      </c>
      <c r="AB74" s="52">
        <v>4</v>
      </c>
      <c r="AC74" s="52"/>
      <c r="AD74" s="22" t="s">
        <v>896</v>
      </c>
      <c r="AE74" s="52"/>
      <c r="AF74" s="134" t="s">
        <v>7</v>
      </c>
      <c r="AG74" s="138" t="s">
        <v>235</v>
      </c>
      <c r="AH74" s="103" t="s">
        <v>107</v>
      </c>
      <c r="AI74" s="1">
        <f>Table1[[#This Row],[Efforts with out AI ]]-Table1[[#This Row],[Efforts with AI]]</f>
        <v>4</v>
      </c>
      <c r="AJ74" s="2"/>
    </row>
    <row r="75" spans="1:36" ht="57.75">
      <c r="A75" s="101">
        <f>ROW() - ROW(Table1[[#Headers],[S.No.]])</f>
        <v>74</v>
      </c>
      <c r="B75" s="13"/>
      <c r="C75" s="14"/>
      <c r="D75" s="13"/>
      <c r="E75" s="13" t="s">
        <v>937</v>
      </c>
      <c r="F75" s="14" t="s">
        <v>938</v>
      </c>
      <c r="G75" s="13"/>
      <c r="H75" s="14" t="s">
        <v>92</v>
      </c>
      <c r="I75" s="13" t="s">
        <v>93</v>
      </c>
      <c r="J75" s="14"/>
      <c r="K75" s="14"/>
      <c r="L75" s="14"/>
      <c r="M75" s="14"/>
      <c r="N75" s="14"/>
      <c r="O75" s="14"/>
      <c r="P75" s="14"/>
      <c r="Q75" s="14"/>
      <c r="R75" s="14"/>
      <c r="S75" s="22"/>
      <c r="T75" s="22"/>
      <c r="U75" s="22"/>
      <c r="V75" s="22"/>
      <c r="W75" s="128" t="s">
        <v>41</v>
      </c>
      <c r="X75" s="128" t="s">
        <v>31</v>
      </c>
      <c r="Y75" s="143" t="s">
        <v>939</v>
      </c>
      <c r="Z75" s="143" t="s">
        <v>940</v>
      </c>
      <c r="AA75" s="143" t="s">
        <v>941</v>
      </c>
      <c r="AB75" s="22"/>
      <c r="AC75" s="22"/>
      <c r="AD75" s="22"/>
      <c r="AE75" s="22"/>
      <c r="AF75" s="136" t="s">
        <v>11</v>
      </c>
      <c r="AG75" s="139" t="s">
        <v>942</v>
      </c>
      <c r="AH75" s="103" t="s">
        <v>107</v>
      </c>
      <c r="AI75" s="1">
        <f>Table1[[#This Row],[Efforts with out AI ]]-Table1[[#This Row],[Efforts with AI]]</f>
        <v>0</v>
      </c>
      <c r="AJ75" s="2"/>
    </row>
    <row r="76" spans="1:36" ht="101.25">
      <c r="A76" s="102">
        <f>ROW() - ROW(Table1[[#Headers],[S.No.]])</f>
        <v>75</v>
      </c>
      <c r="B76" s="13" t="s">
        <v>943</v>
      </c>
      <c r="C76" s="14"/>
      <c r="D76" s="43" t="s">
        <v>944</v>
      </c>
      <c r="E76" s="13" t="s">
        <v>945</v>
      </c>
      <c r="F76" s="14" t="s">
        <v>946</v>
      </c>
      <c r="G76" s="43"/>
      <c r="H76" s="14" t="s">
        <v>947</v>
      </c>
      <c r="I76" s="13" t="s">
        <v>947</v>
      </c>
      <c r="J76" s="14"/>
      <c r="K76" s="14" t="s">
        <v>948</v>
      </c>
      <c r="L76" s="14" t="s">
        <v>949</v>
      </c>
      <c r="M76" s="14" t="s">
        <v>950</v>
      </c>
      <c r="N76" s="14"/>
      <c r="O76" s="14" t="s">
        <v>951</v>
      </c>
      <c r="P76" s="14" t="s">
        <v>952</v>
      </c>
      <c r="Q76" s="13" t="s">
        <v>953</v>
      </c>
      <c r="R76" s="13"/>
      <c r="S76" s="22"/>
      <c r="T76" s="22"/>
      <c r="U76" s="44"/>
      <c r="V76" s="22"/>
      <c r="W76" s="131" t="s">
        <v>2</v>
      </c>
      <c r="X76" s="131" t="s">
        <v>3</v>
      </c>
      <c r="Y76" s="145" t="s">
        <v>232</v>
      </c>
      <c r="Z76" s="145" t="s">
        <v>233</v>
      </c>
      <c r="AA76" s="145" t="s">
        <v>337</v>
      </c>
      <c r="AB76" s="22"/>
      <c r="AC76" s="22"/>
      <c r="AD76" s="22"/>
      <c r="AE76" s="22"/>
      <c r="AF76" s="134" t="s">
        <v>7</v>
      </c>
      <c r="AG76" s="138" t="s">
        <v>235</v>
      </c>
      <c r="AH76" s="103" t="s">
        <v>107</v>
      </c>
      <c r="AI76" s="1" t="e">
        <f>Table1[[#This Row],[Efforts with out AI ]]-Table1[[#This Row],[Efforts with AI]]</f>
        <v>#VALUE!</v>
      </c>
      <c r="AJ76" s="2"/>
    </row>
    <row r="77" spans="1:36" ht="87">
      <c r="A77" s="101">
        <f>ROW() - ROW(Table1[[#Headers],[S.No.]])</f>
        <v>76</v>
      </c>
      <c r="B77" s="13" t="s">
        <v>943</v>
      </c>
      <c r="C77" s="14"/>
      <c r="D77" s="13" t="s">
        <v>954</v>
      </c>
      <c r="E77" s="13" t="s">
        <v>955</v>
      </c>
      <c r="F77" s="14" t="s">
        <v>956</v>
      </c>
      <c r="G77" s="13"/>
      <c r="H77" s="14" t="s">
        <v>955</v>
      </c>
      <c r="I77" s="13" t="s">
        <v>955</v>
      </c>
      <c r="J77" s="14"/>
      <c r="K77" s="14" t="s">
        <v>957</v>
      </c>
      <c r="L77" s="14" t="s">
        <v>958</v>
      </c>
      <c r="M77" s="14" t="s">
        <v>959</v>
      </c>
      <c r="N77" s="14"/>
      <c r="O77" s="14" t="s">
        <v>960</v>
      </c>
      <c r="P77" s="14" t="s">
        <v>961</v>
      </c>
      <c r="Q77" s="13" t="s">
        <v>953</v>
      </c>
      <c r="R77" s="13"/>
      <c r="S77" s="22"/>
      <c r="T77" s="22"/>
      <c r="U77" s="22"/>
      <c r="V77" s="22"/>
      <c r="W77" s="129" t="s">
        <v>2</v>
      </c>
      <c r="X77" s="129" t="s">
        <v>3</v>
      </c>
      <c r="Y77" s="143" t="s">
        <v>232</v>
      </c>
      <c r="Z77" s="143" t="s">
        <v>233</v>
      </c>
      <c r="AA77" s="143" t="s">
        <v>250</v>
      </c>
      <c r="AB77" s="22"/>
      <c r="AC77" s="22"/>
      <c r="AD77" s="22"/>
      <c r="AE77" s="22"/>
      <c r="AF77" s="134" t="s">
        <v>7</v>
      </c>
      <c r="AG77" s="138" t="s">
        <v>235</v>
      </c>
      <c r="AH77" s="103" t="s">
        <v>107</v>
      </c>
      <c r="AI77" s="1" t="e">
        <f>Table1[[#This Row],[Efforts with out AI ]]-Table1[[#This Row],[Efforts with AI]]</f>
        <v>#VALUE!</v>
      </c>
      <c r="AJ77" s="2"/>
    </row>
    <row r="78" spans="1:36" ht="332.25">
      <c r="A78" s="101">
        <f>ROW() - ROW(Table1[[#Headers],[S.No.]])</f>
        <v>77</v>
      </c>
      <c r="B78" s="14" t="s">
        <v>44</v>
      </c>
      <c r="C78" s="14"/>
      <c r="D78" s="60" t="s">
        <v>962</v>
      </c>
      <c r="E78" s="14" t="s">
        <v>963</v>
      </c>
      <c r="F78" s="14" t="s">
        <v>964</v>
      </c>
      <c r="G78" s="60" t="s">
        <v>91</v>
      </c>
      <c r="H78" s="14" t="s">
        <v>92</v>
      </c>
      <c r="I78" s="14" t="s">
        <v>93</v>
      </c>
      <c r="J78" s="14" t="s">
        <v>129</v>
      </c>
      <c r="K78" s="14"/>
      <c r="L78" s="14"/>
      <c r="M78" s="14" t="s">
        <v>965</v>
      </c>
      <c r="N78" s="14" t="s">
        <v>966</v>
      </c>
      <c r="O78" s="14"/>
      <c r="P78" s="14"/>
      <c r="Q78" s="13"/>
      <c r="R78" s="61" t="s">
        <v>967</v>
      </c>
      <c r="S78" s="14"/>
      <c r="T78" s="14"/>
      <c r="U78" s="61" t="s">
        <v>968</v>
      </c>
      <c r="V78" s="14" t="s">
        <v>101</v>
      </c>
      <c r="W78" s="131" t="s">
        <v>2</v>
      </c>
      <c r="X78" s="129" t="s">
        <v>3</v>
      </c>
      <c r="Y78" s="152" t="s">
        <v>232</v>
      </c>
      <c r="Z78" s="152" t="s">
        <v>233</v>
      </c>
      <c r="AA78" s="152" t="s">
        <v>331</v>
      </c>
      <c r="AB78" s="14"/>
      <c r="AC78" s="14"/>
      <c r="AD78" s="14"/>
      <c r="AE78" s="14"/>
      <c r="AF78" s="134" t="s">
        <v>7</v>
      </c>
      <c r="AG78" s="138" t="s">
        <v>235</v>
      </c>
      <c r="AH78" s="103" t="s">
        <v>107</v>
      </c>
      <c r="AI78" s="1">
        <f>Table1[[#This Row],[Efforts with out AI ]]-Table1[[#This Row],[Efforts with AI]]</f>
        <v>0</v>
      </c>
      <c r="AJ78" s="2"/>
    </row>
    <row r="79" spans="1:36" ht="409.6">
      <c r="A79" s="101">
        <f>ROW() - ROW(Table1[[#Headers],[S.No.]])</f>
        <v>78</v>
      </c>
      <c r="B79" s="21" t="s">
        <v>44</v>
      </c>
      <c r="C79" s="21"/>
      <c r="D79" s="21" t="s">
        <v>969</v>
      </c>
      <c r="E79" s="21" t="s">
        <v>970</v>
      </c>
      <c r="F79" s="21" t="s">
        <v>971</v>
      </c>
      <c r="G79" s="21" t="s">
        <v>91</v>
      </c>
      <c r="H79" s="21" t="s">
        <v>112</v>
      </c>
      <c r="I79" s="21" t="s">
        <v>112</v>
      </c>
      <c r="J79" s="21" t="s">
        <v>972</v>
      </c>
      <c r="K79" s="21"/>
      <c r="L79" s="21"/>
      <c r="M79" s="21" t="s">
        <v>973</v>
      </c>
      <c r="N79" s="21"/>
      <c r="O79" s="21" t="s">
        <v>974</v>
      </c>
      <c r="P79" s="21"/>
      <c r="Q79" s="16" t="s">
        <v>116</v>
      </c>
      <c r="R79" s="62" t="s">
        <v>975</v>
      </c>
      <c r="S79" s="63" t="s">
        <v>976</v>
      </c>
      <c r="T79" s="21" t="s">
        <v>10</v>
      </c>
      <c r="U79" s="64" t="s">
        <v>977</v>
      </c>
      <c r="V79" s="21" t="s">
        <v>101</v>
      </c>
      <c r="W79" s="131" t="s">
        <v>2</v>
      </c>
      <c r="X79" s="129" t="s">
        <v>3</v>
      </c>
      <c r="Y79" s="152" t="s">
        <v>232</v>
      </c>
      <c r="Z79" s="152" t="s">
        <v>233</v>
      </c>
      <c r="AA79" s="152" t="s">
        <v>250</v>
      </c>
      <c r="AB79" s="154" t="s">
        <v>978</v>
      </c>
      <c r="AC79" s="154" t="s">
        <v>979</v>
      </c>
      <c r="AD79" s="154" t="s">
        <v>980</v>
      </c>
      <c r="AE79" s="21"/>
      <c r="AF79" s="134" t="s">
        <v>7</v>
      </c>
      <c r="AG79" s="138" t="s">
        <v>235</v>
      </c>
      <c r="AH79" s="103" t="s">
        <v>107</v>
      </c>
      <c r="AI79" s="1">
        <f>Table1[[#This Row],[Efforts with out AI ]]-Table1[[#This Row],[Efforts with AI]]</f>
        <v>0</v>
      </c>
      <c r="AJ79" s="2"/>
    </row>
    <row r="80" spans="1:36" ht="57.75">
      <c r="A80" s="102">
        <f>ROW() - ROW(Table1[[#Headers],[S.No.]])</f>
        <v>79</v>
      </c>
      <c r="B80" s="65" t="s">
        <v>44</v>
      </c>
      <c r="C80" s="65"/>
      <c r="D80" s="65" t="s">
        <v>981</v>
      </c>
      <c r="E80" s="65" t="s">
        <v>982</v>
      </c>
      <c r="F80" s="65" t="s">
        <v>983</v>
      </c>
      <c r="G80" s="65" t="s">
        <v>91</v>
      </c>
      <c r="H80" s="65" t="s">
        <v>112</v>
      </c>
      <c r="I80" s="65" t="s">
        <v>112</v>
      </c>
      <c r="J80" s="65" t="s">
        <v>984</v>
      </c>
      <c r="K80" s="65"/>
      <c r="L80" s="65"/>
      <c r="M80" s="65" t="s">
        <v>985</v>
      </c>
      <c r="N80" s="65"/>
      <c r="O80" s="65"/>
      <c r="P80" s="65"/>
      <c r="Q80" s="66"/>
      <c r="R80" s="65"/>
      <c r="S80" s="65"/>
      <c r="T80" s="65"/>
      <c r="U80" s="65"/>
      <c r="V80" s="65" t="s">
        <v>101</v>
      </c>
      <c r="W80" s="131" t="s">
        <v>2</v>
      </c>
      <c r="X80" s="129" t="s">
        <v>3</v>
      </c>
      <c r="Y80" s="155" t="s">
        <v>232</v>
      </c>
      <c r="Z80" s="155" t="s">
        <v>233</v>
      </c>
      <c r="AA80" s="155" t="s">
        <v>331</v>
      </c>
      <c r="AB80" s="156" t="s">
        <v>978</v>
      </c>
      <c r="AC80" s="156" t="s">
        <v>986</v>
      </c>
      <c r="AD80" s="65"/>
      <c r="AE80" s="65"/>
      <c r="AF80" s="134" t="s">
        <v>7</v>
      </c>
      <c r="AG80" s="138" t="s">
        <v>235</v>
      </c>
      <c r="AH80" s="103" t="s">
        <v>107</v>
      </c>
      <c r="AI80" s="1">
        <f>Table1[[#This Row],[Efforts with out AI ]]-Table1[[#This Row],[Efforts with AI]]</f>
        <v>0</v>
      </c>
      <c r="AJ80" s="2"/>
    </row>
    <row r="81" spans="1:36" ht="87">
      <c r="A81" s="101">
        <f>ROW() - ROW(Table1[[#Headers],[S.No.]])</f>
        <v>80</v>
      </c>
      <c r="B81" s="65" t="s">
        <v>44</v>
      </c>
      <c r="C81" s="65"/>
      <c r="D81" s="65" t="s">
        <v>987</v>
      </c>
      <c r="E81" s="65" t="s">
        <v>126</v>
      </c>
      <c r="F81" s="65" t="s">
        <v>988</v>
      </c>
      <c r="G81" s="68">
        <v>46024</v>
      </c>
      <c r="H81" s="65" t="s">
        <v>92</v>
      </c>
      <c r="I81" s="65" t="s">
        <v>128</v>
      </c>
      <c r="J81" s="65" t="s">
        <v>129</v>
      </c>
      <c r="K81" s="65"/>
      <c r="L81" s="65"/>
      <c r="M81" s="65" t="s">
        <v>989</v>
      </c>
      <c r="N81" s="65"/>
      <c r="O81" s="65" t="s">
        <v>990</v>
      </c>
      <c r="P81" s="65" t="s">
        <v>132</v>
      </c>
      <c r="Q81" s="66"/>
      <c r="R81" s="65"/>
      <c r="S81" s="65"/>
      <c r="T81" s="65"/>
      <c r="U81" s="65"/>
      <c r="V81" s="65" t="s">
        <v>101</v>
      </c>
      <c r="W81" s="20" t="s">
        <v>2</v>
      </c>
      <c r="X81" s="20" t="s">
        <v>12</v>
      </c>
      <c r="Y81" s="67" t="s">
        <v>991</v>
      </c>
      <c r="Z81" s="67" t="s">
        <v>992</v>
      </c>
      <c r="AA81" s="67" t="s">
        <v>993</v>
      </c>
      <c r="AB81" s="65"/>
      <c r="AC81" s="65"/>
      <c r="AD81" s="65"/>
      <c r="AE81" s="65"/>
      <c r="AF81" s="20" t="s">
        <v>2</v>
      </c>
      <c r="AG81" s="20" t="s">
        <v>12</v>
      </c>
      <c r="AH81" s="141" t="s">
        <v>107</v>
      </c>
      <c r="AI81" s="1">
        <f>Table1[[#This Row],[Efforts with out AI ]]-Table1[[#This Row],[Efforts with AI]]</f>
        <v>0</v>
      </c>
      <c r="AJ81" s="2"/>
    </row>
    <row r="82" spans="1:36" ht="57.75">
      <c r="A82" s="101">
        <f>ROW() - ROW(Table1[[#Headers],[S.No.]])</f>
        <v>81</v>
      </c>
      <c r="B82" s="14" t="s">
        <v>44</v>
      </c>
      <c r="C82" s="14"/>
      <c r="D82" s="14" t="s">
        <v>994</v>
      </c>
      <c r="E82" s="14" t="s">
        <v>995</v>
      </c>
      <c r="F82" s="14" t="s">
        <v>996</v>
      </c>
      <c r="G82" s="69">
        <v>46023</v>
      </c>
      <c r="H82" s="14" t="s">
        <v>144</v>
      </c>
      <c r="I82" s="14" t="s">
        <v>997</v>
      </c>
      <c r="J82" s="14" t="s">
        <v>998</v>
      </c>
      <c r="K82" s="14"/>
      <c r="L82" s="14"/>
      <c r="M82" s="14"/>
      <c r="N82" s="14"/>
      <c r="O82" s="14" t="s">
        <v>999</v>
      </c>
      <c r="P82" s="14" t="s">
        <v>1000</v>
      </c>
      <c r="Q82" s="15" t="s">
        <v>150</v>
      </c>
      <c r="R82" s="14" t="s">
        <v>1001</v>
      </c>
      <c r="S82" s="14" t="s">
        <v>5</v>
      </c>
      <c r="T82" s="14"/>
      <c r="U82" s="14"/>
      <c r="V82" s="14" t="s">
        <v>101</v>
      </c>
      <c r="W82" s="20" t="s">
        <v>2</v>
      </c>
      <c r="X82" s="20" t="s">
        <v>12</v>
      </c>
      <c r="Y82" s="56" t="s">
        <v>1002</v>
      </c>
      <c r="Z82" s="56" t="s">
        <v>1003</v>
      </c>
      <c r="AA82" s="56" t="s">
        <v>1004</v>
      </c>
      <c r="AB82" s="14"/>
      <c r="AC82" s="14"/>
      <c r="AD82" s="14"/>
      <c r="AE82" s="14"/>
      <c r="AF82" s="20" t="s">
        <v>2</v>
      </c>
      <c r="AG82" s="20" t="s">
        <v>12</v>
      </c>
      <c r="AH82" s="103" t="s">
        <v>107</v>
      </c>
      <c r="AI82" s="1">
        <f>Table1[[#This Row],[Efforts with out AI ]]-Table1[[#This Row],[Efforts with AI]]</f>
        <v>0</v>
      </c>
      <c r="AJ82" s="2"/>
    </row>
    <row r="83" spans="1:36" ht="57.75">
      <c r="A83" s="101">
        <f>ROW() - ROW(Table1[[#Headers],[S.No.]])</f>
        <v>82</v>
      </c>
      <c r="B83" s="21" t="s">
        <v>44</v>
      </c>
      <c r="C83" s="21"/>
      <c r="D83" s="21" t="s">
        <v>1005</v>
      </c>
      <c r="E83" s="70" t="s">
        <v>1006</v>
      </c>
      <c r="F83" s="21" t="s">
        <v>1007</v>
      </c>
      <c r="G83" s="71">
        <v>46023</v>
      </c>
      <c r="H83" s="21" t="s">
        <v>144</v>
      </c>
      <c r="I83" s="21" t="s">
        <v>159</v>
      </c>
      <c r="J83" s="21" t="s">
        <v>1008</v>
      </c>
      <c r="K83" s="21"/>
      <c r="L83" s="21"/>
      <c r="M83" s="21"/>
      <c r="N83" s="21"/>
      <c r="O83" s="21" t="s">
        <v>1009</v>
      </c>
      <c r="P83" s="21" t="s">
        <v>1010</v>
      </c>
      <c r="Q83" s="15" t="s">
        <v>150</v>
      </c>
      <c r="R83" s="21" t="s">
        <v>1011</v>
      </c>
      <c r="S83" s="21" t="s">
        <v>5</v>
      </c>
      <c r="T83" s="21"/>
      <c r="U83" s="21"/>
      <c r="V83" s="21" t="s">
        <v>101</v>
      </c>
      <c r="W83" s="20" t="s">
        <v>2</v>
      </c>
      <c r="X83" s="20" t="s">
        <v>12</v>
      </c>
      <c r="Y83" s="56" t="s">
        <v>1012</v>
      </c>
      <c r="Z83" s="56" t="s">
        <v>1013</v>
      </c>
      <c r="AA83" s="56" t="s">
        <v>1014</v>
      </c>
      <c r="AB83" s="21"/>
      <c r="AC83" s="21"/>
      <c r="AD83" s="21"/>
      <c r="AE83" s="21"/>
      <c r="AF83" s="20" t="s">
        <v>2</v>
      </c>
      <c r="AG83" s="20" t="s">
        <v>12</v>
      </c>
      <c r="AH83" s="103" t="s">
        <v>107</v>
      </c>
      <c r="AI83" s="1">
        <f>Table1[[#This Row],[Efforts with out AI ]]-Table1[[#This Row],[Efforts with AI]]</f>
        <v>0</v>
      </c>
      <c r="AJ83" s="2"/>
    </row>
    <row r="84" spans="1:36" ht="409.6">
      <c r="A84" s="102">
        <f>ROW() - ROW(Table1[[#Headers],[S.No.]])</f>
        <v>83</v>
      </c>
      <c r="B84" s="14" t="s">
        <v>44</v>
      </c>
      <c r="C84" s="14"/>
      <c r="D84" s="14" t="s">
        <v>1015</v>
      </c>
      <c r="E84" s="14" t="s">
        <v>1016</v>
      </c>
      <c r="F84" s="14" t="s">
        <v>1017</v>
      </c>
      <c r="G84" s="69">
        <v>46023</v>
      </c>
      <c r="H84" s="14" t="s">
        <v>144</v>
      </c>
      <c r="I84" s="14" t="s">
        <v>1018</v>
      </c>
      <c r="J84" s="14" t="s">
        <v>707</v>
      </c>
      <c r="K84" s="14"/>
      <c r="L84" s="14"/>
      <c r="M84" s="14" t="s">
        <v>1019</v>
      </c>
      <c r="N84" s="14"/>
      <c r="O84" s="14" t="s">
        <v>1020</v>
      </c>
      <c r="P84" s="14" t="s">
        <v>1021</v>
      </c>
      <c r="Q84" s="13" t="s">
        <v>116</v>
      </c>
      <c r="R84" s="14" t="s">
        <v>1022</v>
      </c>
      <c r="S84" s="14" t="s">
        <v>1023</v>
      </c>
      <c r="T84" s="14" t="s">
        <v>10</v>
      </c>
      <c r="U84" s="14" t="s">
        <v>1024</v>
      </c>
      <c r="V84" s="14" t="s">
        <v>101</v>
      </c>
      <c r="W84" s="20" t="s">
        <v>2</v>
      </c>
      <c r="X84" s="122" t="s">
        <v>8</v>
      </c>
      <c r="Y84" s="56" t="s">
        <v>1025</v>
      </c>
      <c r="Z84" s="56" t="s">
        <v>1026</v>
      </c>
      <c r="AA84" s="56" t="s">
        <v>1027</v>
      </c>
      <c r="AB84" s="154" t="s">
        <v>978</v>
      </c>
      <c r="AC84" s="95"/>
      <c r="AD84" s="95" t="s">
        <v>1028</v>
      </c>
      <c r="AE84" s="14"/>
      <c r="AF84" s="20" t="s">
        <v>2</v>
      </c>
      <c r="AG84" s="122" t="s">
        <v>8</v>
      </c>
      <c r="AH84" s="103" t="s">
        <v>107</v>
      </c>
      <c r="AI84" s="1">
        <f>Table1[[#This Row],[Efforts with out AI ]]-Table1[[#This Row],[Efforts with AI]]</f>
        <v>0</v>
      </c>
      <c r="AJ84" s="2"/>
    </row>
    <row r="85" spans="1:36" ht="57.75">
      <c r="A85" s="101">
        <f>ROW() - ROW(Table1[[#Headers],[S.No.]])</f>
        <v>84</v>
      </c>
      <c r="B85" s="21" t="s">
        <v>44</v>
      </c>
      <c r="C85" s="21"/>
      <c r="D85" s="21" t="s">
        <v>1029</v>
      </c>
      <c r="E85" s="21" t="s">
        <v>1030</v>
      </c>
      <c r="F85" s="21" t="s">
        <v>1031</v>
      </c>
      <c r="G85" s="71">
        <v>46023</v>
      </c>
      <c r="H85" s="21" t="s">
        <v>144</v>
      </c>
      <c r="I85" s="21" t="s">
        <v>1032</v>
      </c>
      <c r="J85" s="21" t="s">
        <v>741</v>
      </c>
      <c r="K85" s="21"/>
      <c r="L85" s="21"/>
      <c r="M85" s="21"/>
      <c r="N85" s="21"/>
      <c r="O85" s="21" t="s">
        <v>1033</v>
      </c>
      <c r="P85" s="21" t="s">
        <v>1034</v>
      </c>
      <c r="Q85" s="72"/>
      <c r="R85" s="21" t="s">
        <v>1035</v>
      </c>
      <c r="S85" s="21"/>
      <c r="T85" s="21"/>
      <c r="U85" s="21"/>
      <c r="V85" s="21" t="s">
        <v>101</v>
      </c>
      <c r="W85" s="20" t="s">
        <v>2</v>
      </c>
      <c r="X85" s="20" t="s">
        <v>12</v>
      </c>
      <c r="Y85" s="56" t="s">
        <v>1036</v>
      </c>
      <c r="Z85" s="56" t="s">
        <v>1037</v>
      </c>
      <c r="AA85" s="56" t="s">
        <v>1038</v>
      </c>
      <c r="AB85" s="21"/>
      <c r="AC85" s="21"/>
      <c r="AD85" s="21"/>
      <c r="AE85" s="21"/>
      <c r="AF85" s="20" t="s">
        <v>2</v>
      </c>
      <c r="AG85" s="20" t="s">
        <v>12</v>
      </c>
      <c r="AH85" s="103" t="s">
        <v>107</v>
      </c>
      <c r="AI85" s="1">
        <f>Table1[[#This Row],[Efforts with out AI ]]-Table1[[#This Row],[Efforts with AI]]</f>
        <v>0</v>
      </c>
      <c r="AJ85" s="2"/>
    </row>
    <row r="86" spans="1:36" ht="409.6">
      <c r="A86" s="101">
        <f>ROW() - ROW(Table1[[#Headers],[S.No.]])</f>
        <v>85</v>
      </c>
      <c r="B86" s="14" t="s">
        <v>44</v>
      </c>
      <c r="C86" s="14"/>
      <c r="D86" s="14" t="s">
        <v>1039</v>
      </c>
      <c r="E86" s="14" t="s">
        <v>1040</v>
      </c>
      <c r="F86" s="14" t="s">
        <v>1041</v>
      </c>
      <c r="G86" s="69">
        <v>46023</v>
      </c>
      <c r="H86" s="14" t="s">
        <v>144</v>
      </c>
      <c r="I86" s="14" t="s">
        <v>1042</v>
      </c>
      <c r="J86" s="14" t="s">
        <v>1043</v>
      </c>
      <c r="K86" s="14"/>
      <c r="L86" s="14"/>
      <c r="M86" s="14" t="s">
        <v>1044</v>
      </c>
      <c r="N86" s="14"/>
      <c r="O86" s="14" t="s">
        <v>1045</v>
      </c>
      <c r="P86" s="14" t="s">
        <v>1046</v>
      </c>
      <c r="Q86" s="13"/>
      <c r="R86" s="61" t="s">
        <v>1047</v>
      </c>
      <c r="S86" s="14"/>
      <c r="T86" s="14"/>
      <c r="U86" s="61" t="s">
        <v>1048</v>
      </c>
      <c r="V86" s="14" t="s">
        <v>101</v>
      </c>
      <c r="W86" s="20" t="s">
        <v>2</v>
      </c>
      <c r="X86" s="20" t="s">
        <v>12</v>
      </c>
      <c r="Y86" s="56" t="s">
        <v>1049</v>
      </c>
      <c r="Z86" s="56" t="s">
        <v>1050</v>
      </c>
      <c r="AA86" s="56" t="s">
        <v>1051</v>
      </c>
      <c r="AB86" s="14"/>
      <c r="AC86" s="14"/>
      <c r="AD86" s="14"/>
      <c r="AE86" s="14"/>
      <c r="AF86" s="20" t="s">
        <v>2</v>
      </c>
      <c r="AG86" s="20" t="s">
        <v>12</v>
      </c>
      <c r="AH86" s="103" t="s">
        <v>107</v>
      </c>
      <c r="AI86" s="1">
        <f>Table1[[#This Row],[Efforts with out AI ]]-Table1[[#This Row],[Efforts with AI]]</f>
        <v>0</v>
      </c>
      <c r="AJ86" s="2"/>
    </row>
    <row r="87" spans="1:36" ht="57.75">
      <c r="A87" s="101">
        <f>ROW() - ROW(Table1[[#Headers],[S.No.]])</f>
        <v>86</v>
      </c>
      <c r="B87" s="21" t="s">
        <v>44</v>
      </c>
      <c r="C87" s="21"/>
      <c r="D87" s="21" t="s">
        <v>1052</v>
      </c>
      <c r="E87" s="21" t="s">
        <v>1053</v>
      </c>
      <c r="F87" s="21" t="s">
        <v>1054</v>
      </c>
      <c r="G87" s="71">
        <v>46023</v>
      </c>
      <c r="H87" s="21" t="s">
        <v>144</v>
      </c>
      <c r="I87" s="21" t="s">
        <v>1042</v>
      </c>
      <c r="J87" s="21" t="s">
        <v>1055</v>
      </c>
      <c r="K87" s="21"/>
      <c r="L87" s="21"/>
      <c r="M87" s="21"/>
      <c r="N87" s="21"/>
      <c r="O87" s="21" t="s">
        <v>1056</v>
      </c>
      <c r="P87" s="21" t="s">
        <v>1057</v>
      </c>
      <c r="Q87" s="16" t="s">
        <v>1058</v>
      </c>
      <c r="R87" s="21" t="s">
        <v>1059</v>
      </c>
      <c r="S87" s="21"/>
      <c r="T87" s="21"/>
      <c r="U87" s="21"/>
      <c r="V87" s="21" t="s">
        <v>101</v>
      </c>
      <c r="W87" s="20" t="s">
        <v>2</v>
      </c>
      <c r="X87" s="20" t="s">
        <v>12</v>
      </c>
      <c r="Y87" s="56" t="s">
        <v>1060</v>
      </c>
      <c r="Z87" s="56" t="s">
        <v>1061</v>
      </c>
      <c r="AA87" s="56" t="s">
        <v>1062</v>
      </c>
      <c r="AB87" s="21"/>
      <c r="AC87" s="21"/>
      <c r="AD87" s="21"/>
      <c r="AE87" s="21"/>
      <c r="AF87" s="20" t="s">
        <v>2</v>
      </c>
      <c r="AG87" s="20" t="s">
        <v>12</v>
      </c>
      <c r="AH87" s="103" t="s">
        <v>107</v>
      </c>
      <c r="AI87" s="1">
        <f>Table1[[#This Row],[Efforts with out AI ]]-Table1[[#This Row],[Efforts with AI]]</f>
        <v>0</v>
      </c>
      <c r="AJ87" s="2"/>
    </row>
    <row r="88" spans="1:36" ht="57.75">
      <c r="A88" s="102">
        <f>ROW() - ROW(Table1[[#Headers],[S.No.]])</f>
        <v>87</v>
      </c>
      <c r="B88" s="14" t="s">
        <v>44</v>
      </c>
      <c r="C88" s="14"/>
      <c r="D88" s="14" t="s">
        <v>1063</v>
      </c>
      <c r="E88" s="14" t="s">
        <v>1064</v>
      </c>
      <c r="F88" s="14" t="s">
        <v>1065</v>
      </c>
      <c r="G88" s="69">
        <v>46023</v>
      </c>
      <c r="H88" s="14" t="s">
        <v>144</v>
      </c>
      <c r="I88" s="14" t="s">
        <v>1066</v>
      </c>
      <c r="J88" s="14" t="s">
        <v>1067</v>
      </c>
      <c r="K88" s="14"/>
      <c r="L88" s="14"/>
      <c r="M88" s="14"/>
      <c r="N88" s="14"/>
      <c r="O88" s="14" t="s">
        <v>1068</v>
      </c>
      <c r="P88" s="14" t="s">
        <v>1069</v>
      </c>
      <c r="Q88" s="23" t="s">
        <v>150</v>
      </c>
      <c r="R88" s="14" t="s">
        <v>1070</v>
      </c>
      <c r="S88" s="14" t="s">
        <v>5</v>
      </c>
      <c r="T88" s="14"/>
      <c r="U88" s="14"/>
      <c r="V88" s="14" t="s">
        <v>101</v>
      </c>
      <c r="W88" s="20" t="s">
        <v>2</v>
      </c>
      <c r="X88" s="20" t="s">
        <v>12</v>
      </c>
      <c r="Y88" s="56" t="s">
        <v>1071</v>
      </c>
      <c r="Z88" s="56" t="s">
        <v>1072</v>
      </c>
      <c r="AA88" s="56" t="s">
        <v>1073</v>
      </c>
      <c r="AB88" s="14"/>
      <c r="AC88" s="14"/>
      <c r="AD88" s="14"/>
      <c r="AE88" s="14"/>
      <c r="AF88" s="20" t="s">
        <v>2</v>
      </c>
      <c r="AG88" s="20" t="s">
        <v>12</v>
      </c>
      <c r="AH88" s="103" t="s">
        <v>107</v>
      </c>
      <c r="AI88" s="1">
        <f>Table1[[#This Row],[Efforts with out AI ]]-Table1[[#This Row],[Efforts with AI]]</f>
        <v>0</v>
      </c>
      <c r="AJ88" s="2"/>
    </row>
    <row r="89" spans="1:36" ht="57.75">
      <c r="A89" s="101">
        <f>ROW() - ROW(Table1[[#Headers],[S.No.]])</f>
        <v>88</v>
      </c>
      <c r="B89" s="21" t="s">
        <v>44</v>
      </c>
      <c r="C89" s="21"/>
      <c r="D89" s="21" t="s">
        <v>1074</v>
      </c>
      <c r="E89" s="21" t="s">
        <v>1075</v>
      </c>
      <c r="F89" s="21" t="s">
        <v>1076</v>
      </c>
      <c r="G89" s="71">
        <v>46023</v>
      </c>
      <c r="H89" s="21" t="s">
        <v>144</v>
      </c>
      <c r="I89" s="21" t="s">
        <v>1077</v>
      </c>
      <c r="J89" s="21" t="s">
        <v>1078</v>
      </c>
      <c r="K89" s="21"/>
      <c r="L89" s="21"/>
      <c r="M89" s="21"/>
      <c r="N89" s="21"/>
      <c r="O89" s="21" t="s">
        <v>1079</v>
      </c>
      <c r="P89" s="21" t="s">
        <v>1080</v>
      </c>
      <c r="Q89" s="16" t="s">
        <v>1058</v>
      </c>
      <c r="R89" s="21" t="s">
        <v>1081</v>
      </c>
      <c r="S89" s="21"/>
      <c r="T89" s="21"/>
      <c r="U89" s="21"/>
      <c r="V89" s="21" t="s">
        <v>101</v>
      </c>
      <c r="W89" s="20" t="s">
        <v>2</v>
      </c>
      <c r="X89" s="20" t="s">
        <v>12</v>
      </c>
      <c r="Y89" s="56" t="s">
        <v>1082</v>
      </c>
      <c r="Z89" s="56" t="s">
        <v>1083</v>
      </c>
      <c r="AA89" s="56" t="s">
        <v>1084</v>
      </c>
      <c r="AB89" s="21"/>
      <c r="AC89" s="21"/>
      <c r="AD89" s="21"/>
      <c r="AE89" s="21"/>
      <c r="AF89" s="20" t="s">
        <v>2</v>
      </c>
      <c r="AG89" s="20" t="s">
        <v>12</v>
      </c>
      <c r="AH89" s="103" t="s">
        <v>107</v>
      </c>
      <c r="AI89" s="1">
        <f>Table1[[#This Row],[Efforts with out AI ]]-Table1[[#This Row],[Efforts with AI]]</f>
        <v>0</v>
      </c>
      <c r="AJ89" s="2"/>
    </row>
    <row r="90" spans="1:36" ht="57.75">
      <c r="A90" s="101">
        <f>ROW() - ROW(Table1[[#Headers],[S.No.]])</f>
        <v>89</v>
      </c>
      <c r="B90" s="14" t="s">
        <v>44</v>
      </c>
      <c r="C90" s="14"/>
      <c r="D90" s="14" t="s">
        <v>1085</v>
      </c>
      <c r="E90" s="14" t="s">
        <v>1086</v>
      </c>
      <c r="F90" s="14" t="s">
        <v>1087</v>
      </c>
      <c r="G90" s="69">
        <v>46023</v>
      </c>
      <c r="H90" s="14" t="s">
        <v>144</v>
      </c>
      <c r="I90" s="14" t="s">
        <v>1077</v>
      </c>
      <c r="J90" s="14" t="s">
        <v>1088</v>
      </c>
      <c r="K90" s="14"/>
      <c r="L90" s="14"/>
      <c r="M90" s="14"/>
      <c r="N90" s="14"/>
      <c r="O90" s="14" t="s">
        <v>1089</v>
      </c>
      <c r="P90" s="14" t="s">
        <v>1090</v>
      </c>
      <c r="Q90" s="23" t="s">
        <v>150</v>
      </c>
      <c r="R90" s="14" t="s">
        <v>1091</v>
      </c>
      <c r="S90" s="14" t="s">
        <v>0</v>
      </c>
      <c r="T90" s="14"/>
      <c r="U90" s="14"/>
      <c r="V90" s="14" t="s">
        <v>101</v>
      </c>
      <c r="W90" s="20" t="s">
        <v>2</v>
      </c>
      <c r="X90" s="20" t="s">
        <v>12</v>
      </c>
      <c r="Y90" s="56" t="s">
        <v>1092</v>
      </c>
      <c r="Z90" s="56" t="s">
        <v>1093</v>
      </c>
      <c r="AA90" s="56" t="s">
        <v>1094</v>
      </c>
      <c r="AB90" s="14"/>
      <c r="AC90" s="14"/>
      <c r="AD90" s="14"/>
      <c r="AE90" s="14"/>
      <c r="AF90" s="20" t="s">
        <v>2</v>
      </c>
      <c r="AG90" s="20" t="s">
        <v>12</v>
      </c>
      <c r="AH90" s="140" t="s">
        <v>107</v>
      </c>
      <c r="AI90" s="1">
        <f>Table1[[#This Row],[Efforts with out AI ]]-Table1[[#This Row],[Efforts with AI]]</f>
        <v>0</v>
      </c>
      <c r="AJ90" s="2"/>
    </row>
    <row r="91" spans="1:36" ht="409.6">
      <c r="A91" s="101">
        <f>ROW() - ROW(Table1[[#Headers],[S.No.]])</f>
        <v>90</v>
      </c>
      <c r="B91" s="21" t="s">
        <v>44</v>
      </c>
      <c r="C91" s="21"/>
      <c r="D91" s="21" t="s">
        <v>1095</v>
      </c>
      <c r="E91" s="21" t="s">
        <v>1096</v>
      </c>
      <c r="F91" s="21" t="s">
        <v>1097</v>
      </c>
      <c r="G91" s="71">
        <v>46023</v>
      </c>
      <c r="H91" s="21" t="s">
        <v>144</v>
      </c>
      <c r="I91" s="21" t="s">
        <v>1018</v>
      </c>
      <c r="J91" s="21" t="s">
        <v>1098</v>
      </c>
      <c r="K91" s="21"/>
      <c r="L91" s="21"/>
      <c r="M91" s="21" t="s">
        <v>1099</v>
      </c>
      <c r="N91" s="21"/>
      <c r="O91" s="21" t="s">
        <v>1100</v>
      </c>
      <c r="P91" s="21" t="s">
        <v>1101</v>
      </c>
      <c r="Q91" s="72"/>
      <c r="R91" s="64" t="s">
        <v>1102</v>
      </c>
      <c r="S91" s="21"/>
      <c r="T91" s="21"/>
      <c r="U91" s="64" t="s">
        <v>1103</v>
      </c>
      <c r="V91" s="21" t="s">
        <v>101</v>
      </c>
      <c r="W91" s="131" t="s">
        <v>2</v>
      </c>
      <c r="X91" s="129" t="s">
        <v>3</v>
      </c>
      <c r="Y91" s="157" t="s">
        <v>232</v>
      </c>
      <c r="Z91" s="157" t="s">
        <v>233</v>
      </c>
      <c r="AA91" s="157" t="s">
        <v>250</v>
      </c>
      <c r="AB91" s="21"/>
      <c r="AC91" s="21"/>
      <c r="AD91" s="21"/>
      <c r="AE91" s="21"/>
      <c r="AF91" s="132" t="s">
        <v>7</v>
      </c>
      <c r="AG91" s="137" t="s">
        <v>235</v>
      </c>
      <c r="AH91" s="103" t="s">
        <v>107</v>
      </c>
      <c r="AI91" s="1">
        <f>Table1[[#This Row],[Efforts with out AI ]]-Table1[[#This Row],[Efforts with AI]]</f>
        <v>0</v>
      </c>
      <c r="AJ91" s="2"/>
    </row>
    <row r="92" spans="1:36" ht="72.75">
      <c r="A92" s="102">
        <f>ROW() - ROW(Table1[[#Headers],[S.No.]])</f>
        <v>91</v>
      </c>
      <c r="B92" s="14" t="s">
        <v>44</v>
      </c>
      <c r="C92" s="14"/>
      <c r="D92" s="14" t="s">
        <v>1104</v>
      </c>
      <c r="E92" s="70" t="s">
        <v>1105</v>
      </c>
      <c r="F92" s="14" t="s">
        <v>1106</v>
      </c>
      <c r="G92" s="69">
        <v>46023</v>
      </c>
      <c r="H92" s="14" t="s">
        <v>144</v>
      </c>
      <c r="I92" s="14" t="s">
        <v>1107</v>
      </c>
      <c r="J92" s="14" t="s">
        <v>1108</v>
      </c>
      <c r="K92" s="14"/>
      <c r="L92" s="14"/>
      <c r="M92" s="14"/>
      <c r="N92" s="14"/>
      <c r="O92" s="14" t="s">
        <v>1109</v>
      </c>
      <c r="P92" s="14" t="s">
        <v>1110</v>
      </c>
      <c r="Q92" s="13"/>
      <c r="R92" s="14" t="s">
        <v>1111</v>
      </c>
      <c r="S92" s="14"/>
      <c r="T92" s="14"/>
      <c r="U92" s="14"/>
      <c r="V92" s="14" t="s">
        <v>101</v>
      </c>
      <c r="W92" s="131" t="s">
        <v>2</v>
      </c>
      <c r="X92" s="129" t="s">
        <v>3</v>
      </c>
      <c r="Y92" s="152" t="s">
        <v>232</v>
      </c>
      <c r="Z92" s="152" t="s">
        <v>233</v>
      </c>
      <c r="AA92" s="152" t="s">
        <v>250</v>
      </c>
      <c r="AB92" s="14"/>
      <c r="AC92" s="14"/>
      <c r="AD92" s="14"/>
      <c r="AE92" s="14"/>
      <c r="AF92" s="134" t="s">
        <v>7</v>
      </c>
      <c r="AG92" s="138" t="s">
        <v>235</v>
      </c>
      <c r="AH92" s="103" t="s">
        <v>107</v>
      </c>
      <c r="AI92" s="1">
        <f>Table1[[#This Row],[Efforts with out AI ]]-Table1[[#This Row],[Efforts with AI]]</f>
        <v>0</v>
      </c>
      <c r="AJ92" s="2"/>
    </row>
    <row r="93" spans="1:36" ht="72.75">
      <c r="A93" s="101">
        <f>ROW() - ROW(Table1[[#Headers],[S.No.]])</f>
        <v>92</v>
      </c>
      <c r="B93" s="21" t="s">
        <v>44</v>
      </c>
      <c r="C93" s="21"/>
      <c r="D93" s="21" t="s">
        <v>1112</v>
      </c>
      <c r="E93" s="21" t="s">
        <v>1113</v>
      </c>
      <c r="F93" s="21" t="s">
        <v>1114</v>
      </c>
      <c r="G93" s="71">
        <v>46023</v>
      </c>
      <c r="H93" s="21" t="s">
        <v>144</v>
      </c>
      <c r="I93" s="21" t="s">
        <v>1107</v>
      </c>
      <c r="J93" s="21" t="s">
        <v>1115</v>
      </c>
      <c r="K93" s="21"/>
      <c r="L93" s="21"/>
      <c r="M93" s="21"/>
      <c r="N93" s="21"/>
      <c r="O93" s="21" t="s">
        <v>1116</v>
      </c>
      <c r="P93" s="21" t="s">
        <v>1117</v>
      </c>
      <c r="Q93" s="72"/>
      <c r="R93" s="21" t="s">
        <v>1118</v>
      </c>
      <c r="S93" s="21"/>
      <c r="T93" s="21"/>
      <c r="U93" s="21"/>
      <c r="V93" s="21" t="s">
        <v>101</v>
      </c>
      <c r="W93" s="131" t="s">
        <v>2</v>
      </c>
      <c r="X93" s="129" t="s">
        <v>3</v>
      </c>
      <c r="Y93" s="152" t="s">
        <v>232</v>
      </c>
      <c r="Z93" s="152" t="s">
        <v>233</v>
      </c>
      <c r="AA93" s="152" t="s">
        <v>250</v>
      </c>
      <c r="AB93" s="21"/>
      <c r="AC93" s="21"/>
      <c r="AD93" s="21"/>
      <c r="AE93" s="21"/>
      <c r="AF93" s="134" t="s">
        <v>7</v>
      </c>
      <c r="AG93" s="138" t="s">
        <v>235</v>
      </c>
      <c r="AH93" s="103" t="s">
        <v>107</v>
      </c>
      <c r="AI93" s="1">
        <f>Table1[[#This Row],[Efforts with out AI ]]-Table1[[#This Row],[Efforts with AI]]</f>
        <v>0</v>
      </c>
      <c r="AJ93" s="2"/>
    </row>
    <row r="94" spans="1:36" ht="101.25">
      <c r="A94" s="101">
        <f>ROW() - ROW(Table1[[#Headers],[S.No.]])</f>
        <v>93</v>
      </c>
      <c r="B94" s="22" t="s">
        <v>48</v>
      </c>
      <c r="C94" s="19" t="s">
        <v>1119</v>
      </c>
      <c r="D94" s="22" t="s">
        <v>1120</v>
      </c>
      <c r="E94" s="22" t="s">
        <v>1121</v>
      </c>
      <c r="F94" s="19" t="s">
        <v>1122</v>
      </c>
      <c r="G94" s="73">
        <v>46079</v>
      </c>
      <c r="H94" s="19" t="s">
        <v>92</v>
      </c>
      <c r="I94" s="41" t="s">
        <v>128</v>
      </c>
      <c r="J94" s="74" t="s">
        <v>1123</v>
      </c>
      <c r="K94" s="19" t="s">
        <v>1124</v>
      </c>
      <c r="L94" s="19" t="s">
        <v>1125</v>
      </c>
      <c r="M94" s="19" t="s">
        <v>1126</v>
      </c>
      <c r="N94" s="19" t="s">
        <v>1127</v>
      </c>
      <c r="O94" s="19" t="s">
        <v>1128</v>
      </c>
      <c r="P94" s="19" t="s">
        <v>1129</v>
      </c>
      <c r="Q94" s="22" t="s">
        <v>1130</v>
      </c>
      <c r="R94" s="22"/>
      <c r="S94" s="22"/>
      <c r="T94" s="22" t="s">
        <v>6</v>
      </c>
      <c r="U94" s="22" t="s">
        <v>1131</v>
      </c>
      <c r="V94" s="22" t="s">
        <v>715</v>
      </c>
      <c r="W94" s="131" t="s">
        <v>2</v>
      </c>
      <c r="X94" s="129" t="s">
        <v>8</v>
      </c>
      <c r="Y94" s="145" t="s">
        <v>595</v>
      </c>
      <c r="Z94" s="145" t="s">
        <v>233</v>
      </c>
      <c r="AA94" s="145" t="s">
        <v>234</v>
      </c>
      <c r="AB94" s="22" t="s">
        <v>1132</v>
      </c>
      <c r="AC94" s="22">
        <v>1</v>
      </c>
      <c r="AD94" s="22" t="s">
        <v>1133</v>
      </c>
      <c r="AE94" s="22">
        <v>1</v>
      </c>
      <c r="AF94" s="134" t="s">
        <v>7</v>
      </c>
      <c r="AG94" s="138" t="s">
        <v>235</v>
      </c>
      <c r="AH94" s="103" t="s">
        <v>107</v>
      </c>
      <c r="AI94" s="1" t="e">
        <f>Table1[[#This Row],[Efforts with out AI ]]-Table1[[#This Row],[Efforts with AI]]</f>
        <v>#VALUE!</v>
      </c>
      <c r="AJ94" s="2"/>
    </row>
    <row r="95" spans="1:36" ht="72.75">
      <c r="A95" s="101">
        <f>ROW() - ROW(Table1[[#Headers],[S.No.]])</f>
        <v>94</v>
      </c>
      <c r="B95" s="76" t="s">
        <v>48</v>
      </c>
      <c r="C95" s="19" t="s">
        <v>1134</v>
      </c>
      <c r="D95" s="22"/>
      <c r="E95" s="22" t="s">
        <v>1135</v>
      </c>
      <c r="F95" s="19" t="s">
        <v>1136</v>
      </c>
      <c r="G95" s="22"/>
      <c r="H95" s="19" t="s">
        <v>144</v>
      </c>
      <c r="I95" s="22" t="s">
        <v>159</v>
      </c>
      <c r="J95" s="19"/>
      <c r="K95" s="19">
        <v>132</v>
      </c>
      <c r="L95" s="19">
        <v>84</v>
      </c>
      <c r="M95" s="47" t="s">
        <v>1137</v>
      </c>
      <c r="N95" s="19"/>
      <c r="O95" s="77" t="s">
        <v>1138</v>
      </c>
      <c r="P95" s="77" t="s">
        <v>1139</v>
      </c>
      <c r="Q95" s="49" t="s">
        <v>1140</v>
      </c>
      <c r="R95" s="22"/>
      <c r="S95" s="22"/>
      <c r="T95" s="22"/>
      <c r="U95" s="22" t="s">
        <v>1141</v>
      </c>
      <c r="V95" s="49" t="s">
        <v>715</v>
      </c>
      <c r="W95" s="131" t="s">
        <v>2</v>
      </c>
      <c r="X95" s="158" t="s">
        <v>3</v>
      </c>
      <c r="Y95" s="159" t="s">
        <v>232</v>
      </c>
      <c r="Z95" s="159" t="s">
        <v>233</v>
      </c>
      <c r="AA95" s="159" t="s">
        <v>250</v>
      </c>
      <c r="AB95" s="50">
        <v>5</v>
      </c>
      <c r="AC95" s="50"/>
      <c r="AD95" s="49" t="s">
        <v>812</v>
      </c>
      <c r="AE95" s="22"/>
      <c r="AF95" s="150" t="s">
        <v>797</v>
      </c>
      <c r="AG95" s="151" t="s">
        <v>798</v>
      </c>
      <c r="AH95" s="141" t="s">
        <v>107</v>
      </c>
      <c r="AI95" s="1">
        <f>Table1[[#This Row],[Efforts with out AI ]]-Table1[[#This Row],[Efforts with AI]]</f>
        <v>48</v>
      </c>
      <c r="AJ95" s="2"/>
    </row>
    <row r="96" spans="1:36" ht="57.75">
      <c r="A96" s="102">
        <f>ROW() - ROW(Table1[[#Headers],[S.No.]])</f>
        <v>95</v>
      </c>
      <c r="B96" s="76" t="s">
        <v>48</v>
      </c>
      <c r="C96" s="19" t="s">
        <v>1134</v>
      </c>
      <c r="D96" s="22"/>
      <c r="E96" s="22" t="s">
        <v>1142</v>
      </c>
      <c r="F96" s="19" t="s">
        <v>1143</v>
      </c>
      <c r="G96" s="22"/>
      <c r="H96" s="19" t="s">
        <v>92</v>
      </c>
      <c r="I96" s="22" t="s">
        <v>128</v>
      </c>
      <c r="J96" s="19"/>
      <c r="K96" s="78">
        <v>4</v>
      </c>
      <c r="L96" s="78">
        <v>2</v>
      </c>
      <c r="M96" s="19" t="s">
        <v>1144</v>
      </c>
      <c r="N96" s="19"/>
      <c r="O96" s="19" t="s">
        <v>1145</v>
      </c>
      <c r="P96" s="19" t="s">
        <v>1146</v>
      </c>
      <c r="Q96" s="22" t="s">
        <v>1140</v>
      </c>
      <c r="R96" s="22"/>
      <c r="S96" s="22"/>
      <c r="T96" s="22"/>
      <c r="U96" s="22" t="s">
        <v>1147</v>
      </c>
      <c r="V96" s="22" t="s">
        <v>715</v>
      </c>
      <c r="W96" s="131" t="s">
        <v>2</v>
      </c>
      <c r="X96" s="158" t="s">
        <v>3</v>
      </c>
      <c r="Y96" s="160" t="s">
        <v>232</v>
      </c>
      <c r="Z96" s="160" t="s">
        <v>233</v>
      </c>
      <c r="AA96" s="160" t="s">
        <v>331</v>
      </c>
      <c r="AB96" s="52">
        <v>2</v>
      </c>
      <c r="AC96" s="52"/>
      <c r="AD96" s="22" t="s">
        <v>812</v>
      </c>
      <c r="AE96" s="22"/>
      <c r="AF96" s="150" t="s">
        <v>797</v>
      </c>
      <c r="AG96" s="151" t="s">
        <v>798</v>
      </c>
      <c r="AH96" s="103" t="s">
        <v>107</v>
      </c>
      <c r="AI96" s="1">
        <f>Table1[[#This Row],[Efforts with out AI ]]-Table1[[#This Row],[Efforts with AI]]</f>
        <v>2</v>
      </c>
      <c r="AJ96" s="2"/>
    </row>
    <row r="97" spans="1:36" ht="57.75">
      <c r="A97" s="101">
        <f>ROW() - ROW(Table1[[#Headers],[S.No.]])</f>
        <v>96</v>
      </c>
      <c r="B97" s="49" t="s">
        <v>48</v>
      </c>
      <c r="C97" s="79" t="s">
        <v>1148</v>
      </c>
      <c r="D97" s="79" t="s">
        <v>1149</v>
      </c>
      <c r="E97" s="79" t="s">
        <v>1150</v>
      </c>
      <c r="F97" s="79" t="s">
        <v>1151</v>
      </c>
      <c r="G97" s="73">
        <v>46079</v>
      </c>
      <c r="H97" s="79" t="s">
        <v>144</v>
      </c>
      <c r="I97" s="79" t="s">
        <v>1107</v>
      </c>
      <c r="J97" s="79" t="s">
        <v>1152</v>
      </c>
      <c r="K97" s="80">
        <v>2</v>
      </c>
      <c r="L97" s="80">
        <v>0.5</v>
      </c>
      <c r="M97" s="77" t="s">
        <v>1153</v>
      </c>
      <c r="N97" s="80">
        <v>1</v>
      </c>
      <c r="O97" s="77" t="s">
        <v>1154</v>
      </c>
      <c r="P97" s="77" t="s">
        <v>903</v>
      </c>
      <c r="Q97" s="49" t="s">
        <v>1155</v>
      </c>
      <c r="R97" s="49" t="s">
        <v>1156</v>
      </c>
      <c r="S97" s="49" t="s">
        <v>0</v>
      </c>
      <c r="T97" s="49" t="s">
        <v>6</v>
      </c>
      <c r="U97" s="49" t="s">
        <v>1157</v>
      </c>
      <c r="V97" s="49" t="s">
        <v>715</v>
      </c>
      <c r="W97" s="131" t="s">
        <v>2</v>
      </c>
      <c r="X97" s="129" t="s">
        <v>8</v>
      </c>
      <c r="Y97" s="127" t="s">
        <v>595</v>
      </c>
      <c r="Z97" s="142" t="s">
        <v>233</v>
      </c>
      <c r="AA97" s="47" t="s">
        <v>1158</v>
      </c>
      <c r="AB97" s="50">
        <v>1.5</v>
      </c>
      <c r="AC97" s="50"/>
      <c r="AD97" s="49" t="s">
        <v>812</v>
      </c>
      <c r="AE97" s="50"/>
      <c r="AF97" s="132" t="s">
        <v>7</v>
      </c>
      <c r="AG97" s="133" t="s">
        <v>235</v>
      </c>
      <c r="AH97" s="103" t="s">
        <v>107</v>
      </c>
      <c r="AI97" s="1">
        <f>Table1[[#This Row],[Efforts with out AI ]]-Table1[[#This Row],[Efforts with AI]]</f>
        <v>1.5</v>
      </c>
      <c r="AJ97" s="2"/>
    </row>
    <row r="98" spans="1:36" ht="87">
      <c r="A98" s="101">
        <f>ROW() - ROW(Table1[[#Headers],[S.No.]])</f>
        <v>97</v>
      </c>
      <c r="B98" s="22" t="s">
        <v>48</v>
      </c>
      <c r="C98" s="79" t="s">
        <v>1148</v>
      </c>
      <c r="D98" s="79" t="s">
        <v>1159</v>
      </c>
      <c r="E98" s="79" t="s">
        <v>1160</v>
      </c>
      <c r="F98" s="79" t="s">
        <v>1161</v>
      </c>
      <c r="G98" s="73">
        <v>46079</v>
      </c>
      <c r="H98" s="79" t="s">
        <v>144</v>
      </c>
      <c r="I98" s="79" t="s">
        <v>1107</v>
      </c>
      <c r="J98" s="79" t="s">
        <v>1162</v>
      </c>
      <c r="K98" s="78">
        <v>8</v>
      </c>
      <c r="L98" s="78">
        <v>3</v>
      </c>
      <c r="M98" s="19" t="s">
        <v>1163</v>
      </c>
      <c r="N98" s="78">
        <v>1</v>
      </c>
      <c r="O98" s="19" t="s">
        <v>1164</v>
      </c>
      <c r="P98" s="19" t="s">
        <v>1165</v>
      </c>
      <c r="Q98" s="22" t="s">
        <v>1155</v>
      </c>
      <c r="R98" s="22" t="s">
        <v>1166</v>
      </c>
      <c r="S98" s="22" t="s">
        <v>0</v>
      </c>
      <c r="T98" s="22" t="s">
        <v>6</v>
      </c>
      <c r="U98" s="22" t="s">
        <v>905</v>
      </c>
      <c r="V98" s="22" t="s">
        <v>715</v>
      </c>
      <c r="W98" s="131" t="s">
        <v>2</v>
      </c>
      <c r="X98" s="129" t="s">
        <v>8</v>
      </c>
      <c r="Y98" s="143" t="s">
        <v>595</v>
      </c>
      <c r="Z98" s="144" t="s">
        <v>233</v>
      </c>
      <c r="AA98" s="14" t="s">
        <v>1167</v>
      </c>
      <c r="AB98" s="52">
        <v>5</v>
      </c>
      <c r="AC98" s="52"/>
      <c r="AD98" s="22" t="s">
        <v>812</v>
      </c>
      <c r="AE98" s="52"/>
      <c r="AF98" s="134" t="s">
        <v>7</v>
      </c>
      <c r="AG98" s="135" t="s">
        <v>235</v>
      </c>
      <c r="AH98" s="103" t="s">
        <v>107</v>
      </c>
      <c r="AI98" s="1">
        <f>Table1[[#This Row],[Efforts with out AI ]]-Table1[[#This Row],[Efforts with AI]]</f>
        <v>5</v>
      </c>
      <c r="AJ98" s="2"/>
    </row>
    <row r="99" spans="1:36" ht="57.75">
      <c r="A99" s="101">
        <f>ROW() - ROW(Table1[[#Headers],[S.No.]])</f>
        <v>98</v>
      </c>
      <c r="B99" s="49" t="s">
        <v>48</v>
      </c>
      <c r="C99" s="79" t="s">
        <v>1148</v>
      </c>
      <c r="D99" s="81" t="s">
        <v>1168</v>
      </c>
      <c r="E99" s="81" t="s">
        <v>1169</v>
      </c>
      <c r="F99" s="81" t="s">
        <v>1170</v>
      </c>
      <c r="G99" s="82">
        <v>46079</v>
      </c>
      <c r="H99" s="81" t="s">
        <v>144</v>
      </c>
      <c r="I99" s="81" t="s">
        <v>1107</v>
      </c>
      <c r="J99" s="81" t="s">
        <v>1171</v>
      </c>
      <c r="K99" s="80">
        <v>4</v>
      </c>
      <c r="L99" s="80">
        <v>1</v>
      </c>
      <c r="M99" s="77" t="s">
        <v>1172</v>
      </c>
      <c r="N99" s="80">
        <v>1</v>
      </c>
      <c r="O99" s="77" t="s">
        <v>1173</v>
      </c>
      <c r="P99" s="77" t="s">
        <v>1174</v>
      </c>
      <c r="Q99" s="49" t="s">
        <v>1155</v>
      </c>
      <c r="R99" s="49" t="s">
        <v>1175</v>
      </c>
      <c r="S99" s="49" t="s">
        <v>0</v>
      </c>
      <c r="T99" s="49" t="s">
        <v>6</v>
      </c>
      <c r="U99" s="49" t="s">
        <v>1157</v>
      </c>
      <c r="V99" s="49" t="s">
        <v>715</v>
      </c>
      <c r="W99" s="131" t="s">
        <v>2</v>
      </c>
      <c r="X99" s="129" t="s">
        <v>8</v>
      </c>
      <c r="Y99" s="145" t="s">
        <v>595</v>
      </c>
      <c r="Z99" s="146" t="s">
        <v>233</v>
      </c>
      <c r="AA99" s="21" t="s">
        <v>1176</v>
      </c>
      <c r="AB99" s="50">
        <v>3</v>
      </c>
      <c r="AC99" s="50"/>
      <c r="AD99" s="49" t="s">
        <v>812</v>
      </c>
      <c r="AE99" s="50"/>
      <c r="AF99" s="134" t="s">
        <v>7</v>
      </c>
      <c r="AG99" s="135" t="s">
        <v>235</v>
      </c>
      <c r="AH99" s="103" t="s">
        <v>107</v>
      </c>
      <c r="AI99" s="1">
        <f>Table1[[#This Row],[Efforts with out AI ]]-Table1[[#This Row],[Efforts with AI]]</f>
        <v>3</v>
      </c>
      <c r="AJ99" s="2"/>
    </row>
    <row r="100" spans="1:36" ht="57.75">
      <c r="A100" s="102">
        <f>ROW() - ROW(Table1[[#Headers],[S.No.]])</f>
        <v>99</v>
      </c>
      <c r="B100" s="22" t="s">
        <v>48</v>
      </c>
      <c r="C100" s="79" t="s">
        <v>1148</v>
      </c>
      <c r="D100" s="79" t="s">
        <v>1177</v>
      </c>
      <c r="E100" s="79" t="s">
        <v>1178</v>
      </c>
      <c r="F100" s="79" t="s">
        <v>1179</v>
      </c>
      <c r="G100" s="73">
        <v>46079</v>
      </c>
      <c r="H100" s="79" t="s">
        <v>289</v>
      </c>
      <c r="I100" s="79" t="s">
        <v>1077</v>
      </c>
      <c r="J100" s="79" t="s">
        <v>1180</v>
      </c>
      <c r="K100" s="78">
        <v>6</v>
      </c>
      <c r="L100" s="78">
        <v>2</v>
      </c>
      <c r="M100" s="19" t="s">
        <v>1181</v>
      </c>
      <c r="N100" s="78">
        <v>0</v>
      </c>
      <c r="O100" s="19" t="s">
        <v>1182</v>
      </c>
      <c r="P100" s="19" t="s">
        <v>1183</v>
      </c>
      <c r="Q100" s="22" t="s">
        <v>1155</v>
      </c>
      <c r="R100" s="22" t="s">
        <v>1184</v>
      </c>
      <c r="S100" s="22" t="s">
        <v>0</v>
      </c>
      <c r="T100" s="22" t="s">
        <v>10</v>
      </c>
      <c r="U100" s="22" t="s">
        <v>905</v>
      </c>
      <c r="V100" s="22" t="s">
        <v>715</v>
      </c>
      <c r="W100" s="131" t="s">
        <v>2</v>
      </c>
      <c r="X100" s="129" t="s">
        <v>3</v>
      </c>
      <c r="Y100" s="143" t="s">
        <v>232</v>
      </c>
      <c r="Z100" s="144" t="s">
        <v>233</v>
      </c>
      <c r="AA100" s="14" t="s">
        <v>1185</v>
      </c>
      <c r="AB100" s="52">
        <v>4</v>
      </c>
      <c r="AC100" s="52"/>
      <c r="AD100" s="22" t="s">
        <v>754</v>
      </c>
      <c r="AE100" s="52"/>
      <c r="AF100" s="134" t="s">
        <v>7</v>
      </c>
      <c r="AG100" s="135" t="s">
        <v>235</v>
      </c>
      <c r="AH100" s="103" t="s">
        <v>107</v>
      </c>
      <c r="AI100" s="1">
        <f>Table1[[#This Row],[Efforts with out AI ]]-Table1[[#This Row],[Efforts with AI]]</f>
        <v>4</v>
      </c>
      <c r="AJ100" s="2"/>
    </row>
    <row r="101" spans="1:36" ht="57.75">
      <c r="A101" s="101">
        <f>ROW() - ROW(Table1[[#Headers],[S.No.]])</f>
        <v>100</v>
      </c>
      <c r="B101" s="49" t="s">
        <v>48</v>
      </c>
      <c r="C101" s="79" t="s">
        <v>1148</v>
      </c>
      <c r="D101" s="81" t="s">
        <v>1186</v>
      </c>
      <c r="E101" s="81" t="s">
        <v>1187</v>
      </c>
      <c r="F101" s="81" t="s">
        <v>1188</v>
      </c>
      <c r="G101" s="82">
        <v>46079</v>
      </c>
      <c r="H101" s="81" t="s">
        <v>289</v>
      </c>
      <c r="I101" s="81" t="s">
        <v>290</v>
      </c>
      <c r="J101" s="81" t="s">
        <v>1189</v>
      </c>
      <c r="K101" s="80">
        <v>6</v>
      </c>
      <c r="L101" s="80">
        <v>2</v>
      </c>
      <c r="M101" s="77" t="s">
        <v>1190</v>
      </c>
      <c r="N101" s="80">
        <v>0</v>
      </c>
      <c r="O101" s="77" t="s">
        <v>1191</v>
      </c>
      <c r="P101" s="77" t="s">
        <v>1192</v>
      </c>
      <c r="Q101" s="49" t="s">
        <v>1155</v>
      </c>
      <c r="R101" s="49" t="s">
        <v>1193</v>
      </c>
      <c r="S101" s="49" t="s">
        <v>0</v>
      </c>
      <c r="T101" s="49" t="s">
        <v>10</v>
      </c>
      <c r="U101" s="49" t="s">
        <v>905</v>
      </c>
      <c r="V101" s="49" t="s">
        <v>715</v>
      </c>
      <c r="W101" s="131" t="s">
        <v>2</v>
      </c>
      <c r="X101" s="129" t="s">
        <v>3</v>
      </c>
      <c r="Y101" s="145" t="s">
        <v>232</v>
      </c>
      <c r="Z101" s="146" t="s">
        <v>233</v>
      </c>
      <c r="AA101" s="21" t="s">
        <v>1194</v>
      </c>
      <c r="AB101" s="50">
        <v>4</v>
      </c>
      <c r="AC101" s="50"/>
      <c r="AD101" s="49" t="s">
        <v>754</v>
      </c>
      <c r="AE101" s="50"/>
      <c r="AF101" s="134" t="s">
        <v>7</v>
      </c>
      <c r="AG101" s="135" t="s">
        <v>235</v>
      </c>
      <c r="AH101" s="103" t="s">
        <v>107</v>
      </c>
      <c r="AI101" s="1">
        <f>Table1[[#This Row],[Efforts with out AI ]]-Table1[[#This Row],[Efforts with AI]]</f>
        <v>4</v>
      </c>
      <c r="AJ101" s="2"/>
    </row>
    <row r="102" spans="1:36" ht="57.75">
      <c r="A102" s="101">
        <f>ROW() - ROW(Table1[[#Headers],[S.No.]])</f>
        <v>101</v>
      </c>
      <c r="B102" s="22" t="s">
        <v>48</v>
      </c>
      <c r="C102" s="79" t="s">
        <v>1148</v>
      </c>
      <c r="D102" s="79" t="s">
        <v>1195</v>
      </c>
      <c r="E102" s="79" t="s">
        <v>1196</v>
      </c>
      <c r="F102" s="79" t="s">
        <v>1197</v>
      </c>
      <c r="G102" s="73">
        <v>46079</v>
      </c>
      <c r="H102" s="79" t="s">
        <v>1198</v>
      </c>
      <c r="I102" s="79" t="s">
        <v>1107</v>
      </c>
      <c r="J102" s="79" t="s">
        <v>1199</v>
      </c>
      <c r="K102" s="78">
        <v>3</v>
      </c>
      <c r="L102" s="78">
        <v>1</v>
      </c>
      <c r="M102" s="19" t="s">
        <v>1200</v>
      </c>
      <c r="N102" s="78">
        <v>0</v>
      </c>
      <c r="O102" s="19" t="s">
        <v>1201</v>
      </c>
      <c r="P102" s="19" t="s">
        <v>903</v>
      </c>
      <c r="Q102" s="22" t="s">
        <v>1155</v>
      </c>
      <c r="R102" s="22" t="s">
        <v>1202</v>
      </c>
      <c r="S102" s="22" t="s">
        <v>0</v>
      </c>
      <c r="T102" s="22" t="s">
        <v>10</v>
      </c>
      <c r="U102" s="22" t="s">
        <v>905</v>
      </c>
      <c r="V102" s="22" t="s">
        <v>715</v>
      </c>
      <c r="W102" s="131" t="s">
        <v>2</v>
      </c>
      <c r="X102" s="129" t="s">
        <v>3</v>
      </c>
      <c r="Y102" s="143" t="s">
        <v>232</v>
      </c>
      <c r="Z102" s="144" t="s">
        <v>233</v>
      </c>
      <c r="AA102" s="14" t="s">
        <v>1203</v>
      </c>
      <c r="AB102" s="52">
        <v>2</v>
      </c>
      <c r="AC102" s="52"/>
      <c r="AD102" s="22" t="s">
        <v>754</v>
      </c>
      <c r="AE102" s="52"/>
      <c r="AF102" s="134" t="s">
        <v>7</v>
      </c>
      <c r="AG102" s="135" t="s">
        <v>235</v>
      </c>
      <c r="AH102" s="103" t="s">
        <v>107</v>
      </c>
      <c r="AI102" s="1">
        <f>Table1[[#This Row],[Efforts with out AI ]]-Table1[[#This Row],[Efforts with AI]]</f>
        <v>2</v>
      </c>
      <c r="AJ102" s="2"/>
    </row>
    <row r="103" spans="1:36" ht="57.75">
      <c r="A103" s="101">
        <f>ROW() - ROW(Table1[[#Headers],[S.No.]])</f>
        <v>102</v>
      </c>
      <c r="B103" s="49" t="s">
        <v>48</v>
      </c>
      <c r="C103" s="79" t="s">
        <v>1148</v>
      </c>
      <c r="D103" s="81" t="s">
        <v>1204</v>
      </c>
      <c r="E103" s="81" t="s">
        <v>1205</v>
      </c>
      <c r="F103" s="81" t="s">
        <v>1206</v>
      </c>
      <c r="G103" s="82">
        <v>46079</v>
      </c>
      <c r="H103" s="83" t="s">
        <v>448</v>
      </c>
      <c r="I103" s="81" t="s">
        <v>448</v>
      </c>
      <c r="J103" s="81" t="s">
        <v>1207</v>
      </c>
      <c r="K103" s="80">
        <v>6</v>
      </c>
      <c r="L103" s="80">
        <v>2</v>
      </c>
      <c r="M103" s="77" t="s">
        <v>1208</v>
      </c>
      <c r="N103" s="80">
        <v>0</v>
      </c>
      <c r="O103" s="77" t="s">
        <v>1209</v>
      </c>
      <c r="P103" s="77" t="s">
        <v>1210</v>
      </c>
      <c r="Q103" s="49" t="s">
        <v>1155</v>
      </c>
      <c r="R103" s="49" t="s">
        <v>1211</v>
      </c>
      <c r="S103" s="49" t="s">
        <v>0</v>
      </c>
      <c r="T103" s="49" t="s">
        <v>10</v>
      </c>
      <c r="U103" s="49" t="s">
        <v>1157</v>
      </c>
      <c r="V103" s="49" t="s">
        <v>715</v>
      </c>
      <c r="W103" s="131" t="s">
        <v>2</v>
      </c>
      <c r="X103" s="129" t="s">
        <v>3</v>
      </c>
      <c r="Y103" s="145" t="s">
        <v>232</v>
      </c>
      <c r="Z103" s="146" t="s">
        <v>233</v>
      </c>
      <c r="AA103" s="21" t="s">
        <v>1212</v>
      </c>
      <c r="AB103" s="50">
        <v>4</v>
      </c>
      <c r="AC103" s="50"/>
      <c r="AD103" s="49" t="s">
        <v>754</v>
      </c>
      <c r="AE103" s="50"/>
      <c r="AF103" s="134" t="s">
        <v>7</v>
      </c>
      <c r="AG103" s="135" t="s">
        <v>235</v>
      </c>
      <c r="AH103" s="103" t="s">
        <v>107</v>
      </c>
      <c r="AI103" s="1">
        <f>Table1[[#This Row],[Efforts with out AI ]]-Table1[[#This Row],[Efforts with AI]]</f>
        <v>4</v>
      </c>
      <c r="AJ103" s="2"/>
    </row>
    <row r="104" spans="1:36" ht="57.75">
      <c r="A104" s="102">
        <f>ROW() - ROW(Table1[[#Headers],[S.No.]])</f>
        <v>103</v>
      </c>
      <c r="B104" s="79" t="s">
        <v>48</v>
      </c>
      <c r="C104" s="79" t="s">
        <v>1148</v>
      </c>
      <c r="D104" s="79" t="s">
        <v>1213</v>
      </c>
      <c r="E104" s="79" t="s">
        <v>1214</v>
      </c>
      <c r="F104" s="79" t="s">
        <v>1215</v>
      </c>
      <c r="G104" s="73">
        <v>46079</v>
      </c>
      <c r="H104" s="79" t="s">
        <v>92</v>
      </c>
      <c r="I104" s="84" t="s">
        <v>1216</v>
      </c>
      <c r="J104" s="19" t="s">
        <v>1217</v>
      </c>
      <c r="K104" s="78">
        <v>4</v>
      </c>
      <c r="L104" s="78">
        <v>2</v>
      </c>
      <c r="M104" s="19" t="s">
        <v>1218</v>
      </c>
      <c r="N104" s="78">
        <v>0</v>
      </c>
      <c r="O104" s="19" t="s">
        <v>1219</v>
      </c>
      <c r="P104" s="19" t="s">
        <v>1220</v>
      </c>
      <c r="Q104" s="22" t="s">
        <v>1155</v>
      </c>
      <c r="R104" s="22" t="s">
        <v>1221</v>
      </c>
      <c r="S104" s="22" t="s">
        <v>0</v>
      </c>
      <c r="T104" s="22" t="s">
        <v>10</v>
      </c>
      <c r="U104" s="22" t="s">
        <v>1147</v>
      </c>
      <c r="V104" s="22" t="s">
        <v>715</v>
      </c>
      <c r="W104" s="131" t="s">
        <v>2</v>
      </c>
      <c r="X104" s="158" t="s">
        <v>3</v>
      </c>
      <c r="Y104" s="159" t="s">
        <v>232</v>
      </c>
      <c r="Z104" s="159" t="s">
        <v>233</v>
      </c>
      <c r="AA104" s="159" t="s">
        <v>234</v>
      </c>
      <c r="AB104" s="52">
        <v>2</v>
      </c>
      <c r="AC104" s="52"/>
      <c r="AD104" s="22" t="s">
        <v>812</v>
      </c>
      <c r="AE104" s="52"/>
      <c r="AF104" s="150" t="s">
        <v>797</v>
      </c>
      <c r="AG104" s="151" t="s">
        <v>798</v>
      </c>
      <c r="AH104" s="103" t="s">
        <v>107</v>
      </c>
      <c r="AI104" s="1">
        <f>Table1[[#This Row],[Efforts with out AI ]]-Table1[[#This Row],[Efforts with AI]]</f>
        <v>2</v>
      </c>
      <c r="AJ104" s="2"/>
    </row>
    <row r="105" spans="1:36" ht="57.75">
      <c r="A105" s="101">
        <f>ROW() - ROW(Table1[[#Headers],[S.No.]])</f>
        <v>104</v>
      </c>
      <c r="B105" s="81" t="s">
        <v>48</v>
      </c>
      <c r="C105" s="81" t="s">
        <v>1148</v>
      </c>
      <c r="D105" s="81" t="s">
        <v>1222</v>
      </c>
      <c r="E105" s="81" t="s">
        <v>1223</v>
      </c>
      <c r="F105" s="81" t="s">
        <v>1224</v>
      </c>
      <c r="G105" s="82">
        <v>46079</v>
      </c>
      <c r="H105" s="81" t="s">
        <v>92</v>
      </c>
      <c r="I105" s="83" t="s">
        <v>1216</v>
      </c>
      <c r="J105" s="77" t="s">
        <v>1225</v>
      </c>
      <c r="K105" s="80">
        <v>4</v>
      </c>
      <c r="L105" s="80">
        <v>2</v>
      </c>
      <c r="M105" s="77" t="s">
        <v>1226</v>
      </c>
      <c r="N105" s="80">
        <v>0</v>
      </c>
      <c r="O105" s="77" t="s">
        <v>1227</v>
      </c>
      <c r="P105" s="77" t="s">
        <v>1228</v>
      </c>
      <c r="Q105" s="49" t="s">
        <v>1155</v>
      </c>
      <c r="R105" s="49" t="s">
        <v>1229</v>
      </c>
      <c r="S105" s="49" t="s">
        <v>0</v>
      </c>
      <c r="T105" s="49" t="s">
        <v>10</v>
      </c>
      <c r="U105" s="49" t="s">
        <v>1147</v>
      </c>
      <c r="V105" s="49" t="s">
        <v>715</v>
      </c>
      <c r="W105" s="131" t="s">
        <v>2</v>
      </c>
      <c r="X105" s="158" t="s">
        <v>3</v>
      </c>
      <c r="Y105" s="160" t="s">
        <v>232</v>
      </c>
      <c r="Z105" s="160" t="s">
        <v>233</v>
      </c>
      <c r="AA105" s="160" t="s">
        <v>735</v>
      </c>
      <c r="AB105" s="50">
        <v>2</v>
      </c>
      <c r="AC105" s="50"/>
      <c r="AD105" s="49" t="s">
        <v>812</v>
      </c>
      <c r="AE105" s="50"/>
      <c r="AF105" s="150" t="s">
        <v>797</v>
      </c>
      <c r="AG105" s="151" t="s">
        <v>798</v>
      </c>
      <c r="AH105" s="103" t="s">
        <v>107</v>
      </c>
      <c r="AI105" s="1">
        <f>Table1[[#This Row],[Efforts with out AI ]]-Table1[[#This Row],[Efforts with AI]]</f>
        <v>2</v>
      </c>
      <c r="AJ105" s="2"/>
    </row>
    <row r="106" spans="1:36" ht="57.75">
      <c r="A106" s="101">
        <f>ROW() - ROW(Table1[[#Headers],[S.No.]])</f>
        <v>105</v>
      </c>
      <c r="B106" s="81" t="s">
        <v>48</v>
      </c>
      <c r="C106" s="81" t="s">
        <v>1148</v>
      </c>
      <c r="D106" s="81" t="s">
        <v>1230</v>
      </c>
      <c r="E106" s="81" t="s">
        <v>1231</v>
      </c>
      <c r="F106" s="81" t="s">
        <v>1232</v>
      </c>
      <c r="G106" s="82">
        <v>46079</v>
      </c>
      <c r="H106" s="81" t="s">
        <v>92</v>
      </c>
      <c r="I106" s="83" t="s">
        <v>1216</v>
      </c>
      <c r="J106" s="19" t="s">
        <v>1233</v>
      </c>
      <c r="K106" s="78">
        <v>6</v>
      </c>
      <c r="L106" s="78">
        <v>2</v>
      </c>
      <c r="M106" s="19" t="s">
        <v>1234</v>
      </c>
      <c r="N106" s="78">
        <v>0</v>
      </c>
      <c r="O106" s="19" t="s">
        <v>1235</v>
      </c>
      <c r="P106" s="19" t="s">
        <v>1236</v>
      </c>
      <c r="Q106" s="22" t="s">
        <v>1155</v>
      </c>
      <c r="R106" s="22" t="s">
        <v>1237</v>
      </c>
      <c r="S106" s="22" t="s">
        <v>0</v>
      </c>
      <c r="T106" s="22" t="s">
        <v>10</v>
      </c>
      <c r="U106" s="22" t="s">
        <v>1238</v>
      </c>
      <c r="V106" s="22" t="s">
        <v>715</v>
      </c>
      <c r="W106" s="131" t="s">
        <v>2</v>
      </c>
      <c r="X106" s="158" t="s">
        <v>3</v>
      </c>
      <c r="Y106" s="160" t="s">
        <v>232</v>
      </c>
      <c r="Z106" s="160" t="s">
        <v>233</v>
      </c>
      <c r="AA106" s="160" t="s">
        <v>735</v>
      </c>
      <c r="AB106" s="52">
        <v>4</v>
      </c>
      <c r="AC106" s="52"/>
      <c r="AD106" s="22" t="s">
        <v>812</v>
      </c>
      <c r="AE106" s="52"/>
      <c r="AF106" s="150" t="s">
        <v>797</v>
      </c>
      <c r="AG106" s="151" t="s">
        <v>798</v>
      </c>
      <c r="AH106" s="103" t="s">
        <v>107</v>
      </c>
      <c r="AI106" s="1">
        <f>Table1[[#This Row],[Efforts with out AI ]]-Table1[[#This Row],[Efforts with AI]]</f>
        <v>4</v>
      </c>
      <c r="AJ106" s="2"/>
    </row>
    <row r="107" spans="1:36" ht="57.75">
      <c r="A107" s="101">
        <f>ROW() - ROW(Table1[[#Headers],[S.No.]])</f>
        <v>106</v>
      </c>
      <c r="B107" s="49" t="s">
        <v>48</v>
      </c>
      <c r="C107" s="49" t="s">
        <v>702</v>
      </c>
      <c r="D107" s="49" t="s">
        <v>1239</v>
      </c>
      <c r="E107" s="85" t="s">
        <v>1240</v>
      </c>
      <c r="F107" s="77" t="s">
        <v>1241</v>
      </c>
      <c r="G107" s="86">
        <v>45721</v>
      </c>
      <c r="H107" s="77" t="s">
        <v>1242</v>
      </c>
      <c r="I107" s="83" t="s">
        <v>1216</v>
      </c>
      <c r="J107" s="77" t="s">
        <v>1243</v>
      </c>
      <c r="K107" s="77"/>
      <c r="L107" s="77"/>
      <c r="M107" s="77" t="s">
        <v>1244</v>
      </c>
      <c r="N107" s="77"/>
      <c r="O107" s="77" t="s">
        <v>1245</v>
      </c>
      <c r="P107" s="77"/>
      <c r="Q107" s="49" t="s">
        <v>1246</v>
      </c>
      <c r="R107" s="49"/>
      <c r="S107" s="49"/>
      <c r="T107" s="49" t="s">
        <v>1</v>
      </c>
      <c r="U107" s="49" t="s">
        <v>714</v>
      </c>
      <c r="V107" s="22" t="s">
        <v>715</v>
      </c>
      <c r="W107" s="131" t="s">
        <v>2</v>
      </c>
      <c r="X107" s="129" t="s">
        <v>14</v>
      </c>
      <c r="Y107" s="145" t="s">
        <v>454</v>
      </c>
      <c r="Z107" s="145" t="s">
        <v>233</v>
      </c>
      <c r="AA107" s="145" t="s">
        <v>735</v>
      </c>
      <c r="AB107" s="49" t="s">
        <v>1247</v>
      </c>
      <c r="AC107" s="49"/>
      <c r="AD107" s="87" t="s">
        <v>812</v>
      </c>
      <c r="AE107" s="49"/>
      <c r="AF107" s="150" t="s">
        <v>797</v>
      </c>
      <c r="AG107" s="151" t="s">
        <v>798</v>
      </c>
      <c r="AH107" s="103" t="s">
        <v>107</v>
      </c>
      <c r="AI107" s="1">
        <f>Table1[[#This Row],[Efforts with out AI ]]-Table1[[#This Row],[Efforts with AI]]</f>
        <v>0</v>
      </c>
      <c r="AJ107" s="2"/>
    </row>
    <row r="108" spans="1:36" ht="57.75">
      <c r="A108" s="102">
        <f>ROW() - ROW(Table1[[#Headers],[S.No.]])</f>
        <v>107</v>
      </c>
      <c r="B108" s="49" t="s">
        <v>48</v>
      </c>
      <c r="C108" s="77" t="s">
        <v>702</v>
      </c>
      <c r="D108" s="49" t="s">
        <v>1248</v>
      </c>
      <c r="E108" s="49" t="s">
        <v>1249</v>
      </c>
      <c r="F108" s="77" t="s">
        <v>1250</v>
      </c>
      <c r="G108" s="86">
        <v>45731</v>
      </c>
      <c r="H108" s="77" t="s">
        <v>92</v>
      </c>
      <c r="I108" s="83" t="s">
        <v>1216</v>
      </c>
      <c r="J108" s="77" t="s">
        <v>1251</v>
      </c>
      <c r="K108" s="77"/>
      <c r="L108" s="77"/>
      <c r="M108" s="77" t="s">
        <v>1252</v>
      </c>
      <c r="N108" s="77"/>
      <c r="O108" s="77" t="s">
        <v>1253</v>
      </c>
      <c r="P108" s="77"/>
      <c r="Q108" s="49" t="s">
        <v>1246</v>
      </c>
      <c r="R108" s="49"/>
      <c r="S108" s="49"/>
      <c r="T108" s="49" t="s">
        <v>1</v>
      </c>
      <c r="U108" s="49" t="s">
        <v>714</v>
      </c>
      <c r="V108" s="22" t="s">
        <v>715</v>
      </c>
      <c r="W108" s="131" t="s">
        <v>2</v>
      </c>
      <c r="X108" s="129" t="s">
        <v>14</v>
      </c>
      <c r="Y108" s="145" t="s">
        <v>454</v>
      </c>
      <c r="Z108" s="145" t="s">
        <v>233</v>
      </c>
      <c r="AA108" s="145" t="s">
        <v>735</v>
      </c>
      <c r="AB108" s="49" t="s">
        <v>1254</v>
      </c>
      <c r="AC108" s="49"/>
      <c r="AD108" s="22" t="s">
        <v>812</v>
      </c>
      <c r="AE108" s="49"/>
      <c r="AF108" s="150" t="s">
        <v>797</v>
      </c>
      <c r="AG108" s="151" t="s">
        <v>798</v>
      </c>
      <c r="AH108" s="103" t="s">
        <v>107</v>
      </c>
      <c r="AI108" s="1">
        <f>Table1[[#This Row],[Efforts with out AI ]]-Table1[[#This Row],[Efforts with AI]]</f>
        <v>0</v>
      </c>
      <c r="AJ108" s="2"/>
    </row>
    <row r="109" spans="1:36" s="3" customFormat="1" ht="137.25">
      <c r="A109" s="101">
        <f>ROW() - ROW(Table1[[#Headers],[S.No.]])</f>
        <v>108</v>
      </c>
      <c r="B109" s="12" t="s">
        <v>48</v>
      </c>
      <c r="C109" s="88" t="s">
        <v>799</v>
      </c>
      <c r="D109" s="12" t="s">
        <v>1255</v>
      </c>
      <c r="E109" s="89" t="s">
        <v>1256</v>
      </c>
      <c r="F109" s="90" t="s">
        <v>1257</v>
      </c>
      <c r="G109" s="91">
        <v>46048</v>
      </c>
      <c r="H109" s="58" t="s">
        <v>1258</v>
      </c>
      <c r="I109" s="89" t="s">
        <v>911</v>
      </c>
      <c r="J109" s="58" t="s">
        <v>1259</v>
      </c>
      <c r="K109" s="92" t="s">
        <v>1260</v>
      </c>
      <c r="L109" s="58" t="s">
        <v>1261</v>
      </c>
      <c r="M109" s="58" t="s">
        <v>1262</v>
      </c>
      <c r="N109" s="58" t="s">
        <v>1263</v>
      </c>
      <c r="O109" s="58" t="s">
        <v>1264</v>
      </c>
      <c r="P109" s="58" t="s">
        <v>1265</v>
      </c>
      <c r="Q109" s="12" t="s">
        <v>1266</v>
      </c>
      <c r="R109" s="58" t="s">
        <v>1267</v>
      </c>
      <c r="S109" s="12" t="s">
        <v>0</v>
      </c>
      <c r="T109" s="93" t="s">
        <v>1268</v>
      </c>
      <c r="U109" s="94" t="s">
        <v>905</v>
      </c>
      <c r="V109" s="12" t="s">
        <v>1266</v>
      </c>
      <c r="W109" s="131" t="s">
        <v>2</v>
      </c>
      <c r="X109" s="129" t="s">
        <v>8</v>
      </c>
      <c r="Y109" s="143" t="s">
        <v>595</v>
      </c>
      <c r="Z109" s="161" t="s">
        <v>233</v>
      </c>
      <c r="AA109" s="161" t="s">
        <v>250</v>
      </c>
      <c r="AB109" s="95" t="s">
        <v>1269</v>
      </c>
      <c r="AC109" s="95" t="s">
        <v>1270</v>
      </c>
      <c r="AD109" s="88" t="s">
        <v>1271</v>
      </c>
      <c r="AE109" s="95" t="s">
        <v>1272</v>
      </c>
      <c r="AF109" s="150" t="s">
        <v>797</v>
      </c>
      <c r="AG109" s="151" t="s">
        <v>798</v>
      </c>
      <c r="AH109" s="103" t="s">
        <v>107</v>
      </c>
      <c r="AI109" s="1" t="e">
        <f>Table1[[#This Row],[Efforts with out AI ]]-Table1[[#This Row],[Efforts with AI]]</f>
        <v>#VALUE!</v>
      </c>
      <c r="AJ109" s="2"/>
    </row>
    <row r="110" spans="1:36" ht="115.5">
      <c r="A110" s="101">
        <f>ROW() - ROW(Table1[[#Headers],[S.No.]])</f>
        <v>109</v>
      </c>
      <c r="B110" s="12" t="s">
        <v>48</v>
      </c>
      <c r="C110" s="19" t="s">
        <v>799</v>
      </c>
      <c r="D110" s="12" t="s">
        <v>1273</v>
      </c>
      <c r="E110" s="89" t="s">
        <v>1274</v>
      </c>
      <c r="F110" s="19" t="s">
        <v>1275</v>
      </c>
      <c r="G110" s="91">
        <v>46048</v>
      </c>
      <c r="H110" s="58" t="s">
        <v>1276</v>
      </c>
      <c r="I110" s="89" t="s">
        <v>911</v>
      </c>
      <c r="J110" s="58" t="s">
        <v>1277</v>
      </c>
      <c r="K110" s="58" t="s">
        <v>1278</v>
      </c>
      <c r="L110" s="92" t="s">
        <v>1279</v>
      </c>
      <c r="M110" s="58" t="s">
        <v>1280</v>
      </c>
      <c r="N110" s="58" t="s">
        <v>1281</v>
      </c>
      <c r="O110" s="19" t="s">
        <v>1282</v>
      </c>
      <c r="P110" s="19" t="s">
        <v>1283</v>
      </c>
      <c r="Q110" s="12" t="s">
        <v>1266</v>
      </c>
      <c r="R110" s="19" t="s">
        <v>1284</v>
      </c>
      <c r="S110" s="22" t="s">
        <v>0</v>
      </c>
      <c r="T110" s="22" t="s">
        <v>10</v>
      </c>
      <c r="U110" s="94" t="s">
        <v>905</v>
      </c>
      <c r="V110" s="12" t="s">
        <v>1266</v>
      </c>
      <c r="W110" s="131" t="s">
        <v>2</v>
      </c>
      <c r="X110" s="158" t="s">
        <v>3</v>
      </c>
      <c r="Y110" s="161" t="s">
        <v>232</v>
      </c>
      <c r="Z110" s="161" t="s">
        <v>233</v>
      </c>
      <c r="AA110" s="161" t="s">
        <v>234</v>
      </c>
      <c r="AB110" s="95" t="s">
        <v>1285</v>
      </c>
      <c r="AC110" s="95" t="s">
        <v>1286</v>
      </c>
      <c r="AD110" s="19" t="s">
        <v>1287</v>
      </c>
      <c r="AE110" s="95" t="s">
        <v>1288</v>
      </c>
      <c r="AF110" s="150" t="s">
        <v>797</v>
      </c>
      <c r="AG110" s="151" t="s">
        <v>798</v>
      </c>
      <c r="AH110" s="103" t="s">
        <v>107</v>
      </c>
      <c r="AI110" s="1" t="e">
        <f>Table1[[#This Row],[Efforts with out AI ]]-Table1[[#This Row],[Efforts with AI]]</f>
        <v>#VALUE!</v>
      </c>
      <c r="AJ110" s="2"/>
    </row>
    <row r="111" spans="1:36" ht="14.45" customHeight="1">
      <c r="F111" s="1"/>
      <c r="M111" s="2"/>
      <c r="W111" s="1"/>
      <c r="X111" s="1"/>
      <c r="Y111" s="1"/>
      <c r="AF111" s="11"/>
      <c r="AG111" s="11"/>
    </row>
  </sheetData>
  <autoFilter ref="AF1:AH110" xr:uid="{00000000-0001-0000-0000-000000000000}"/>
  <phoneticPr fontId="3" type="noConversion"/>
  <conditionalFormatting sqref="O2:O47 M55:M57 M59:M96 O59:O96 M2:M21 M25:M51 N22:N24">
    <cfRule type="containsBlanks" dxfId="47" priority="65">
      <formula>LEN(TRIM(M2))=0</formula>
    </cfRule>
  </conditionalFormatting>
  <conditionalFormatting sqref="O50:O51 O55:O57">
    <cfRule type="containsBlanks" dxfId="46" priority="66">
      <formula>LEN(TRIM(O50))=0</formula>
    </cfRule>
  </conditionalFormatting>
  <conditionalFormatting sqref="W81:W90">
    <cfRule type="cellIs" dxfId="45" priority="72" operator="equal">
      <formula>"More Elaboration Needed"</formula>
    </cfRule>
  </conditionalFormatting>
  <conditionalFormatting sqref="W81:W90">
    <cfRule type="containsText" dxfId="44" priority="67" operator="containsText" text="More Elaboration">
      <formula>NOT(ISERROR(SEARCH("More Elaboration",W81)))</formula>
    </cfRule>
  </conditionalFormatting>
  <conditionalFormatting sqref="W81:X83 W85:X90 W84">
    <cfRule type="cellIs" dxfId="43" priority="68" operator="equal">
      <formula>"More Elaboration"</formula>
    </cfRule>
    <cfRule type="containsText" dxfId="42" priority="69" operator="containsText" text="Not Accepted">
      <formula>NOT(ISERROR(SEARCH("Not Accepted",W81)))</formula>
    </cfRule>
    <cfRule type="containsText" dxfId="41" priority="70" operator="containsText" text="Accepted">
      <formula>NOT(ISERROR(SEARCH("Accepted",W81)))</formula>
    </cfRule>
    <cfRule type="containsText" dxfId="40" priority="71" operator="containsText" text="Need More Elaboration">
      <formula>NOT(ISERROR(SEARCH("Need More Elaboration",W81)))</formula>
    </cfRule>
  </conditionalFormatting>
  <conditionalFormatting sqref="M22:M24">
    <cfRule type="containsBlanks" dxfId="39" priority="27">
      <formula>LEN(TRIM(M22))=0</formula>
    </cfRule>
  </conditionalFormatting>
  <conditionalFormatting sqref="AF81:AF90">
    <cfRule type="cellIs" dxfId="38" priority="6" operator="equal">
      <formula>"More Elaboration Needed"</formula>
    </cfRule>
  </conditionalFormatting>
  <conditionalFormatting sqref="AF81:AF90">
    <cfRule type="containsText" dxfId="37" priority="1" operator="containsText" text="More Elaboration">
      <formula>NOT(ISERROR(SEARCH("More Elaboration",AF81)))</formula>
    </cfRule>
  </conditionalFormatting>
  <conditionalFormatting sqref="AF81:AG83 AF85:AG90 AF84">
    <cfRule type="cellIs" dxfId="36" priority="2" operator="equal">
      <formula>"More Elaboration"</formula>
    </cfRule>
    <cfRule type="containsText" dxfId="35" priority="3" operator="containsText" text="Not Accepted">
      <formula>NOT(ISERROR(SEARCH("Not Accepted",AF81)))</formula>
    </cfRule>
    <cfRule type="containsText" dxfId="34" priority="4" operator="containsText" text="Accepted">
      <formula>NOT(ISERROR(SEARCH("Accepted",AF81)))</formula>
    </cfRule>
    <cfRule type="containsText" dxfId="33" priority="5" operator="containsText" text="Need More Elaboration">
      <formula>NOT(ISERROR(SEARCH("Need More Elaboration",AF81)))</formula>
    </cfRule>
  </conditionalFormatting>
  <dataValidations count="1">
    <dataValidation type="list" allowBlank="1" showInputMessage="1" showErrorMessage="1" sqref="AF81:AF90 W81:W90" xr:uid="{F77EE083-2188-461D-B73C-577F60F73356}">
      <formula1>$D$1:$D$3</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403B679-E29B-4624-9D1D-0164EF0DB4DA}">
          <x14:formula1>
            <xm:f>Info!$A$1:$A$2</xm:f>
          </x14:formula1>
          <xm:sqref>S77 S75 S23:S69 S8:S18</xm:sqref>
        </x14:dataValidation>
        <x14:dataValidation type="list" allowBlank="1" showInputMessage="1" showErrorMessage="1" xr:uid="{F36A5F24-C7D7-4920-B839-E71EAC1E9814}">
          <x14:formula1>
            <xm:f>Info!$D$1:$D$3</xm:f>
          </x14:formula1>
          <xm:sqref>W112:X1048576</xm:sqref>
        </x14:dataValidation>
        <x14:dataValidation type="list" allowBlank="1" showInputMessage="1" showErrorMessage="1" xr:uid="{31F7269C-6B31-4C76-B4BE-E9490E4EDD6B}">
          <x14:formula1>
            <xm:f>Info!$F$1:$F$25</xm:f>
          </x14:formula1>
          <xm:sqref>AG81:AG83 AG85:AG90 X81:X83 X85:X90</xm:sqref>
        </x14:dataValidation>
        <x14:dataValidation type="list" allowBlank="1" showInputMessage="1" showErrorMessage="1" xr:uid="{EBC5C0FF-E119-4577-A2AE-C55AE6A56F81}">
          <x14:formula1>
            <xm:f>Info!$C$1:$C$3</xm:f>
          </x14:formula1>
          <xm:sqref>T112:T1048576 T8:T108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C060-5909-4639-92B3-B7B3E38C38F1}">
  <dimension ref="A2:D7"/>
  <sheetViews>
    <sheetView workbookViewId="0">
      <selection activeCell="C7" sqref="C7"/>
    </sheetView>
  </sheetViews>
  <sheetFormatPr defaultRowHeight="15"/>
  <cols>
    <col min="1" max="1" width="26.140625" bestFit="1" customWidth="1"/>
    <col min="2" max="2" width="24.140625" customWidth="1"/>
    <col min="3" max="3" width="27.85546875" bestFit="1" customWidth="1"/>
    <col min="4" max="4" width="31.42578125" bestFit="1" customWidth="1"/>
    <col min="5" max="6" width="15" bestFit="1" customWidth="1"/>
    <col min="7" max="7" width="19.7109375" bestFit="1" customWidth="1"/>
    <col min="8" max="8" width="23" bestFit="1" customWidth="1"/>
    <col min="9" max="9" width="20.140625" bestFit="1" customWidth="1"/>
    <col min="10" max="10" width="23.5703125" bestFit="1" customWidth="1"/>
    <col min="11" max="11" width="9.28515625" bestFit="1" customWidth="1"/>
    <col min="12" max="12" width="12.42578125" bestFit="1" customWidth="1"/>
    <col min="13" max="13" width="11.7109375" bestFit="1" customWidth="1"/>
    <col min="14" max="14" width="17.85546875" bestFit="1" customWidth="1"/>
    <col min="15" max="15" width="18.28515625" bestFit="1" customWidth="1"/>
    <col min="16" max="16" width="7.42578125" bestFit="1" customWidth="1"/>
    <col min="17" max="17" width="33.140625" bestFit="1" customWidth="1"/>
    <col min="18" max="18" width="21.28515625" bestFit="1" customWidth="1"/>
    <col min="19" max="19" width="20.140625" bestFit="1" customWidth="1"/>
  </cols>
  <sheetData>
    <row r="2" spans="1:4">
      <c r="A2" s="4" t="s">
        <v>86</v>
      </c>
      <c r="B2" s="4" t="s">
        <v>49</v>
      </c>
      <c r="C2" t="s">
        <v>51</v>
      </c>
      <c r="D2" t="s">
        <v>1289</v>
      </c>
    </row>
    <row r="3" spans="1:4">
      <c r="A3" t="s">
        <v>107</v>
      </c>
      <c r="B3" t="s">
        <v>2</v>
      </c>
      <c r="C3">
        <v>99</v>
      </c>
      <c r="D3">
        <v>99</v>
      </c>
    </row>
    <row r="4" spans="1:4">
      <c r="B4" t="s">
        <v>7</v>
      </c>
      <c r="C4">
        <v>5</v>
      </c>
      <c r="D4">
        <v>5</v>
      </c>
    </row>
    <row r="5" spans="1:4">
      <c r="B5" t="s">
        <v>41</v>
      </c>
      <c r="C5">
        <v>5</v>
      </c>
      <c r="D5">
        <v>5</v>
      </c>
    </row>
    <row r="6" spans="1:4">
      <c r="A6" t="s">
        <v>1290</v>
      </c>
      <c r="C6">
        <v>109</v>
      </c>
      <c r="D6">
        <v>109</v>
      </c>
    </row>
    <row r="7" spans="1:4">
      <c r="A7" t="s">
        <v>42</v>
      </c>
      <c r="C7">
        <v>109</v>
      </c>
      <c r="D7">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5263-F9A2-4A84-B7DD-74831AA22840}">
  <dimension ref="A2:D7"/>
  <sheetViews>
    <sheetView workbookViewId="0">
      <selection activeCell="A3" sqref="A3:B6"/>
    </sheetView>
  </sheetViews>
  <sheetFormatPr defaultRowHeight="15"/>
  <cols>
    <col min="1" max="1" width="26.140625" bestFit="1" customWidth="1"/>
    <col min="2" max="3" width="31.42578125" bestFit="1" customWidth="1"/>
    <col min="4" max="4" width="31.5703125" customWidth="1"/>
    <col min="5" max="5" width="31.42578125" bestFit="1" customWidth="1"/>
    <col min="6" max="6" width="15" bestFit="1" customWidth="1"/>
  </cols>
  <sheetData>
    <row r="2" spans="1:4">
      <c r="A2" s="4" t="s">
        <v>84</v>
      </c>
      <c r="B2" t="s">
        <v>1289</v>
      </c>
    </row>
    <row r="3" spans="1:4">
      <c r="A3" t="s">
        <v>2</v>
      </c>
      <c r="B3">
        <v>31</v>
      </c>
    </row>
    <row r="4" spans="1:4">
      <c r="A4" t="s">
        <v>797</v>
      </c>
      <c r="B4">
        <v>10</v>
      </c>
    </row>
    <row r="5" spans="1:4">
      <c r="A5" t="s">
        <v>7</v>
      </c>
      <c r="B5">
        <v>57</v>
      </c>
      <c r="D5" t="str">
        <f>TEXT(ROUND(C5/B5,4),"0.00%")</f>
        <v>0.00%</v>
      </c>
    </row>
    <row r="6" spans="1:4">
      <c r="A6" t="s">
        <v>11</v>
      </c>
      <c r="B6">
        <v>11</v>
      </c>
    </row>
    <row r="7" spans="1:4">
      <c r="A7" t="s">
        <v>42</v>
      </c>
      <c r="B7">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2BB87CE819E545B01F102383EE67B1" ma:contentTypeVersion="23" ma:contentTypeDescription="Create a new document." ma:contentTypeScope="" ma:versionID="c8ab13fab5d46979c2c1c9eb6846947a">
  <xsd:schema xmlns:xsd="http://www.w3.org/2001/XMLSchema" xmlns:xs="http://www.w3.org/2001/XMLSchema" xmlns:p="http://schemas.microsoft.com/office/2006/metadata/properties" xmlns:ns1="http://schemas.microsoft.com/sharepoint/v3" xmlns:ns2="09ff24c0-77c5-45bb-b700-980a20d49705" xmlns:ns3="29657cc7-0fd9-4db4-a4b6-d56bbcb3908c" targetNamespace="http://schemas.microsoft.com/office/2006/metadata/properties" ma:root="true" ma:fieldsID="29b1bc42097594bbaa75a118678c956c" ns1:_="" ns2:_="" ns3:_="">
    <xsd:import namespace="http://schemas.microsoft.com/sharepoint/v3"/>
    <xsd:import namespace="09ff24c0-77c5-45bb-b700-980a20d49705"/>
    <xsd:import namespace="29657cc7-0fd9-4db4-a4b6-d56bbcb390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ff24c0-77c5-45bb-b700-980a20d497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92c848f-80df-41b0-b4cb-1dd49ac9c17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57cc7-0fd9-4db4-a4b6-d56bbcb390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67d8f4-37ac-41e9-98c8-38518026d4f9}" ma:internalName="TaxCatchAll" ma:showField="CatchAllData" ma:web="29657cc7-0fd9-4db4-a4b6-d56bbcb390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9657cc7-0fd9-4db4-a4b6-d56bbcb3908c" xsi:nil="true"/>
    <_ip_UnifiedCompliancePolicyProperties xmlns="http://schemas.microsoft.com/sharepoint/v3" xsi:nil="true"/>
    <lcf76f155ced4ddcb4097134ff3c332f xmlns="09ff24c0-77c5-45bb-b700-980a20d4970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BB250F-C912-4CF8-9F47-640AE76C0D8E}"/>
</file>

<file path=customXml/itemProps2.xml><?xml version="1.0" encoding="utf-8"?>
<ds:datastoreItem xmlns:ds="http://schemas.openxmlformats.org/officeDocument/2006/customXml" ds:itemID="{F5DCD46D-15B3-4E8F-BD7D-C6E6D6E1DEC3}"/>
</file>

<file path=customXml/itemProps3.xml><?xml version="1.0" encoding="utf-8"?>
<ds:datastoreItem xmlns:ds="http://schemas.openxmlformats.org/officeDocument/2006/customXml" ds:itemID="{CC51306F-2C6B-4D1B-BCB4-737398E4D4AB}"/>
</file>

<file path=docMetadata/LabelInfo.xml><?xml version="1.0" encoding="utf-8"?>
<clbl:labelList xmlns:clbl="http://schemas.microsoft.com/office/2020/mipLabelMetadata">
  <clbl:label id="{0f1e79fc-1f4d-4187-a67d-c1c5354c13f8}" enabled="1" method="Standard" siteId="{e1304ad9-93ba-4557-8b20-8c1c1143b39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Neeraj Goel | Ejada Systems</dc:creator>
  <cp:keywords/>
  <dc:description/>
  <cp:lastModifiedBy/>
  <cp:revision/>
  <dcterms:created xsi:type="dcterms:W3CDTF">2015-06-05T18:17:20Z</dcterms:created>
  <dcterms:modified xsi:type="dcterms:W3CDTF">2026-04-11T22:31:48Z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0x0101007F2BB87CE819E545B01F102383EE67B1</vt:lpwstr>
  </property>
  <property fmtid="{D5CDD505-2E9C-101B-9397-08002B2CF9AE}" pid="3" name="MediaServiceImageTags">
    <vt:lpwstr/>
  </property>
</Properties>
</file>