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jadasharepoint-my.sharepoint.com/personal/oibrahim_ejada_com/Documents/"/>
    </mc:Choice>
  </mc:AlternateContent>
  <xr:revisionPtr revIDLastSave="0" documentId="8_{D621F1BC-4C43-4261-86E0-816BFA4746B7}" xr6:coauthVersionLast="47" xr6:coauthVersionMax="47" xr10:uidLastSave="{00000000-0000-0000-0000-000000000000}"/>
  <bookViews>
    <workbookView xWindow="-108" yWindow="-108" windowWidth="23256" windowHeight="12456" firstSheet="4" activeTab="4" xr2:uid="{00000000-000D-0000-FFFF-FFFF00000000}"/>
  </bookViews>
  <sheets>
    <sheet name="LOVs" sheetId="2" state="hidden" r:id="rId1"/>
    <sheet name="Summary" sheetId="1" r:id="rId2"/>
    <sheet name="AI Accomplishments" sheetId="12" r:id="rId3"/>
    <sheet name="Projects" sheetId="3" r:id="rId4"/>
    <sheet name="Copliot User Access" sheetId="11" r:id="rId5"/>
    <sheet name="CES" sheetId="5" r:id="rId6"/>
    <sheet name="ERP" sheetId="4" r:id="rId7"/>
    <sheet name="BFSI" sheetId="6" r:id="rId8"/>
    <sheet name="EPS" sheetId="7" r:id="rId9"/>
    <sheet name="EPCS" sheetId="9" r:id="rId10"/>
    <sheet name="AI_Projects" sheetId="10" state="hidden" r:id="rId11"/>
    <sheet name="GRC" sheetId="8" r:id="rId12"/>
  </sheets>
  <definedNames>
    <definedName name="_xlnm._FilterDatabase" localSheetId="2" hidden="1">'AI Accomplishments'!$A$4:$T$34</definedName>
    <definedName name="_xlnm._FilterDatabase" localSheetId="4" hidden="1">'Copliot User Access'!$A$1:$F$176</definedName>
    <definedName name="BFSI_Projects">Projects!$G$3:$G$21</definedName>
    <definedName name="CES_Projects">Projects!$D$3:$D$21</definedName>
    <definedName name="EPCS_Projects">Projects!$P$3:$P$21</definedName>
    <definedName name="EPS_Projects">Projects!$J$3:$J$21</definedName>
    <definedName name="ERP_Projects">Projects!$A$3:$A$21</definedName>
    <definedName name="GRC_Projects">Projects!$M$3:$M$21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N9" i="4"/>
  <c r="M10" i="4"/>
  <c r="N10" i="4"/>
  <c r="M11" i="4"/>
  <c r="N11" i="4"/>
  <c r="M38" i="6"/>
  <c r="N38" i="6" s="1"/>
  <c r="M37" i="6"/>
  <c r="N37" i="6" s="1"/>
  <c r="M12" i="8"/>
  <c r="N12" i="8" s="1"/>
  <c r="M36" i="6"/>
  <c r="N36" i="6" s="1"/>
  <c r="M34" i="6"/>
  <c r="N34" i="6" s="1"/>
  <c r="E34" i="6"/>
  <c r="M33" i="6"/>
  <c r="N33" i="6" s="1"/>
  <c r="E33" i="6"/>
  <c r="E32" i="6"/>
  <c r="M32" i="6"/>
  <c r="N32" i="6" s="1"/>
  <c r="M11" i="8"/>
  <c r="N11" i="8" s="1"/>
  <c r="E31" i="6"/>
  <c r="M13" i="5"/>
  <c r="N13" i="5" s="1"/>
  <c r="E13" i="5"/>
  <c r="E10" i="5"/>
  <c r="M12" i="5"/>
  <c r="N12" i="5" s="1"/>
  <c r="E12" i="5"/>
  <c r="M14" i="4"/>
  <c r="N14" i="4" s="1"/>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5" i="12"/>
  <c r="K11" i="1"/>
  <c r="K10" i="1"/>
  <c r="K9" i="1"/>
  <c r="K8" i="1"/>
  <c r="K7" i="1"/>
  <c r="K6" i="1"/>
  <c r="J11" i="1"/>
  <c r="I11" i="1"/>
  <c r="H11" i="1"/>
  <c r="G11" i="1"/>
  <c r="F11" i="1"/>
  <c r="E11" i="1"/>
  <c r="J10" i="1"/>
  <c r="I10" i="1"/>
  <c r="F10" i="1"/>
  <c r="E10" i="1"/>
  <c r="J9" i="1"/>
  <c r="I9" i="1"/>
  <c r="F9" i="1"/>
  <c r="E9" i="1"/>
  <c r="J8" i="1"/>
  <c r="I8" i="1"/>
  <c r="F8" i="1"/>
  <c r="E8" i="1"/>
  <c r="J7" i="1"/>
  <c r="I7" i="1"/>
  <c r="F7" i="1"/>
  <c r="E7" i="1"/>
  <c r="J6" i="1"/>
  <c r="J12" i="1" s="1"/>
  <c r="I6" i="1"/>
  <c r="I12" i="1" s="1"/>
  <c r="F6" i="1"/>
  <c r="F12" i="1" s="1"/>
  <c r="E6" i="1"/>
  <c r="E12" i="1" s="1"/>
  <c r="D6" i="1"/>
  <c r="D7" i="1"/>
  <c r="D8" i="1"/>
  <c r="D9" i="1"/>
  <c r="D10" i="1"/>
  <c r="D11" i="1"/>
  <c r="D12" i="1"/>
  <c r="E7" i="6"/>
  <c r="E8" i="6"/>
  <c r="E9" i="6"/>
  <c r="B58" i="9"/>
  <c r="B57" i="9"/>
  <c r="B56" i="9"/>
  <c r="B53" i="9"/>
  <c r="B52" i="9"/>
  <c r="B51" i="9"/>
  <c r="M46" i="9"/>
  <c r="N46" i="9" s="1"/>
  <c r="E46" i="9"/>
  <c r="M45" i="9"/>
  <c r="N45" i="9" s="1"/>
  <c r="E45" i="9"/>
  <c r="M44" i="9"/>
  <c r="N44" i="9" s="1"/>
  <c r="E44" i="9"/>
  <c r="N43" i="9"/>
  <c r="M43" i="9"/>
  <c r="E43" i="9"/>
  <c r="M42" i="9"/>
  <c r="N42" i="9" s="1"/>
  <c r="E42" i="9"/>
  <c r="N41" i="9"/>
  <c r="M41" i="9"/>
  <c r="E41" i="9"/>
  <c r="N40" i="9"/>
  <c r="M40" i="9"/>
  <c r="E40" i="9"/>
  <c r="N39" i="9"/>
  <c r="M39" i="9"/>
  <c r="E39" i="9"/>
  <c r="N38" i="9"/>
  <c r="M38" i="9"/>
  <c r="E38" i="9"/>
  <c r="N37" i="9"/>
  <c r="M37" i="9"/>
  <c r="E37" i="9"/>
  <c r="N36" i="9"/>
  <c r="M36" i="9"/>
  <c r="E36" i="9"/>
  <c r="N35" i="9"/>
  <c r="M35" i="9"/>
  <c r="E35" i="9"/>
  <c r="N34" i="9"/>
  <c r="M34" i="9"/>
  <c r="E34" i="9"/>
  <c r="N33" i="9"/>
  <c r="M33" i="9"/>
  <c r="E33" i="9"/>
  <c r="N32" i="9"/>
  <c r="M32" i="9"/>
  <c r="E32" i="9"/>
  <c r="M31" i="9"/>
  <c r="N31" i="9" s="1"/>
  <c r="E31" i="9"/>
  <c r="N30" i="9"/>
  <c r="M30" i="9"/>
  <c r="E30" i="9"/>
  <c r="M29" i="9"/>
  <c r="N29" i="9" s="1"/>
  <c r="E29" i="9"/>
  <c r="M28" i="9"/>
  <c r="N28" i="9" s="1"/>
  <c r="E28" i="9"/>
  <c r="M27" i="9"/>
  <c r="N27" i="9" s="1"/>
  <c r="E27" i="9"/>
  <c r="N26" i="9"/>
  <c r="M26" i="9"/>
  <c r="E26" i="9"/>
  <c r="M25" i="9"/>
  <c r="N25" i="9" s="1"/>
  <c r="E25" i="9"/>
  <c r="N24" i="9"/>
  <c r="M24" i="9"/>
  <c r="E24" i="9"/>
  <c r="M23" i="9"/>
  <c r="N23" i="9" s="1"/>
  <c r="E23" i="9"/>
  <c r="M22" i="9"/>
  <c r="N22" i="9" s="1"/>
  <c r="E22" i="9"/>
  <c r="M21" i="9"/>
  <c r="N21" i="9" s="1"/>
  <c r="E21" i="9"/>
  <c r="M20" i="9"/>
  <c r="N20" i="9" s="1"/>
  <c r="E20" i="9"/>
  <c r="M19" i="9"/>
  <c r="N19" i="9" s="1"/>
  <c r="E19" i="9"/>
  <c r="N18" i="9"/>
  <c r="M18" i="9"/>
  <c r="E18" i="9"/>
  <c r="N17" i="9"/>
  <c r="M17" i="9"/>
  <c r="E17" i="9"/>
  <c r="M16" i="9"/>
  <c r="N16" i="9" s="1"/>
  <c r="E16" i="9"/>
  <c r="M15" i="9"/>
  <c r="N15" i="9" s="1"/>
  <c r="E15" i="9"/>
  <c r="M14" i="9"/>
  <c r="N14" i="9" s="1"/>
  <c r="E14" i="9"/>
  <c r="N13" i="9"/>
  <c r="M13" i="9"/>
  <c r="E13" i="9"/>
  <c r="N12" i="9"/>
  <c r="M12" i="9"/>
  <c r="E12" i="9"/>
  <c r="N11" i="9"/>
  <c r="M11" i="9"/>
  <c r="E11" i="9"/>
  <c r="N10" i="9"/>
  <c r="M10" i="9"/>
  <c r="E10" i="9"/>
  <c r="M9" i="9"/>
  <c r="N9" i="9" s="1"/>
  <c r="E9" i="9"/>
  <c r="N8" i="9"/>
  <c r="M8" i="9"/>
  <c r="E8" i="9"/>
  <c r="M7" i="9"/>
  <c r="N7" i="9" s="1"/>
  <c r="E7" i="9"/>
  <c r="B56" i="8"/>
  <c r="B55" i="8"/>
  <c r="B54" i="8"/>
  <c r="B51" i="8"/>
  <c r="B50" i="8"/>
  <c r="B49" i="8"/>
  <c r="M44" i="8"/>
  <c r="N44" i="8" s="1"/>
  <c r="E44" i="8"/>
  <c r="M43" i="8"/>
  <c r="N43" i="8" s="1"/>
  <c r="E43" i="8"/>
  <c r="M42" i="8"/>
  <c r="N42" i="8" s="1"/>
  <c r="E42" i="8"/>
  <c r="M41" i="8"/>
  <c r="N41" i="8" s="1"/>
  <c r="E41" i="8"/>
  <c r="M40" i="8"/>
  <c r="N40" i="8" s="1"/>
  <c r="E40" i="8"/>
  <c r="M39" i="8"/>
  <c r="N39" i="8" s="1"/>
  <c r="E39" i="8"/>
  <c r="M38" i="8"/>
  <c r="N38" i="8" s="1"/>
  <c r="E38" i="8"/>
  <c r="M37" i="8"/>
  <c r="N37" i="8" s="1"/>
  <c r="E37" i="8"/>
  <c r="M36" i="8"/>
  <c r="N36" i="8" s="1"/>
  <c r="E36" i="8"/>
  <c r="M35" i="8"/>
  <c r="N35" i="8" s="1"/>
  <c r="E35" i="8"/>
  <c r="M34" i="8"/>
  <c r="N34" i="8" s="1"/>
  <c r="E34" i="8"/>
  <c r="M33" i="8"/>
  <c r="N33" i="8" s="1"/>
  <c r="E33" i="8"/>
  <c r="M32" i="8"/>
  <c r="N32" i="8" s="1"/>
  <c r="E32" i="8"/>
  <c r="M31" i="8"/>
  <c r="N31" i="8" s="1"/>
  <c r="E31" i="8"/>
  <c r="M30" i="8"/>
  <c r="N30" i="8" s="1"/>
  <c r="E30" i="8"/>
  <c r="M29" i="8"/>
  <c r="N29" i="8" s="1"/>
  <c r="E29" i="8"/>
  <c r="M28" i="8"/>
  <c r="N28" i="8" s="1"/>
  <c r="E28" i="8"/>
  <c r="M27" i="8"/>
  <c r="N27" i="8" s="1"/>
  <c r="E27" i="8"/>
  <c r="M26" i="8"/>
  <c r="N26" i="8" s="1"/>
  <c r="E26" i="8"/>
  <c r="M25" i="8"/>
  <c r="N25" i="8" s="1"/>
  <c r="E25" i="8"/>
  <c r="M24" i="8"/>
  <c r="N24" i="8" s="1"/>
  <c r="E24" i="8"/>
  <c r="M23" i="8"/>
  <c r="N23" i="8" s="1"/>
  <c r="E23" i="8"/>
  <c r="M22" i="8"/>
  <c r="N22" i="8" s="1"/>
  <c r="E22" i="8"/>
  <c r="M21" i="8"/>
  <c r="N21" i="8" s="1"/>
  <c r="E21" i="8"/>
  <c r="M20" i="8"/>
  <c r="N20" i="8" s="1"/>
  <c r="E20" i="8"/>
  <c r="M19" i="8"/>
  <c r="N19" i="8" s="1"/>
  <c r="E19" i="8"/>
  <c r="M18" i="8"/>
  <c r="N18" i="8" s="1"/>
  <c r="E18" i="8"/>
  <c r="M17" i="8"/>
  <c r="N17" i="8" s="1"/>
  <c r="E17" i="8"/>
  <c r="M16" i="8"/>
  <c r="N16" i="8" s="1"/>
  <c r="E16" i="8"/>
  <c r="M15" i="8"/>
  <c r="N15" i="8" s="1"/>
  <c r="E15" i="8"/>
  <c r="M14" i="8"/>
  <c r="N14" i="8" s="1"/>
  <c r="E14" i="8"/>
  <c r="M13" i="8"/>
  <c r="N13" i="8" s="1"/>
  <c r="E13" i="8"/>
  <c r="M10" i="8"/>
  <c r="M9" i="8"/>
  <c r="N9" i="8" s="1"/>
  <c r="M8" i="8"/>
  <c r="N8" i="8" s="1"/>
  <c r="M7" i="8"/>
  <c r="B58" i="7"/>
  <c r="B57" i="7"/>
  <c r="B56" i="7"/>
  <c r="B53" i="7"/>
  <c r="B52" i="7"/>
  <c r="B51" i="7"/>
  <c r="N46" i="7"/>
  <c r="M46" i="7"/>
  <c r="E46" i="7"/>
  <c r="M45" i="7"/>
  <c r="N45" i="7" s="1"/>
  <c r="E45" i="7"/>
  <c r="M44" i="7"/>
  <c r="N44" i="7" s="1"/>
  <c r="E44" i="7"/>
  <c r="M43" i="7"/>
  <c r="N43" i="7" s="1"/>
  <c r="E43" i="7"/>
  <c r="N42" i="7"/>
  <c r="M42" i="7"/>
  <c r="E42" i="7"/>
  <c r="M41" i="7"/>
  <c r="N41" i="7" s="1"/>
  <c r="E41" i="7"/>
  <c r="N40" i="7"/>
  <c r="M40" i="7"/>
  <c r="E40" i="7"/>
  <c r="M39" i="7"/>
  <c r="N39" i="7" s="1"/>
  <c r="E39" i="7"/>
  <c r="N38" i="7"/>
  <c r="M38" i="7"/>
  <c r="E38" i="7"/>
  <c r="M37" i="7"/>
  <c r="N37" i="7" s="1"/>
  <c r="E37" i="7"/>
  <c r="N36" i="7"/>
  <c r="M36" i="7"/>
  <c r="E36" i="7"/>
  <c r="M35" i="7"/>
  <c r="N35" i="7" s="1"/>
  <c r="E35" i="7"/>
  <c r="M34" i="7"/>
  <c r="N34" i="7" s="1"/>
  <c r="E34" i="7"/>
  <c r="M33" i="7"/>
  <c r="N33" i="7" s="1"/>
  <c r="E33" i="7"/>
  <c r="M32" i="7"/>
  <c r="N32" i="7" s="1"/>
  <c r="E32" i="7"/>
  <c r="M31" i="7"/>
  <c r="N31" i="7" s="1"/>
  <c r="E31" i="7"/>
  <c r="N30" i="7"/>
  <c r="M30" i="7"/>
  <c r="E30" i="7"/>
  <c r="N29" i="7"/>
  <c r="M29" i="7"/>
  <c r="E29" i="7"/>
  <c r="M28" i="7"/>
  <c r="N28" i="7" s="1"/>
  <c r="E28" i="7"/>
  <c r="M27" i="7"/>
  <c r="N27" i="7" s="1"/>
  <c r="E27" i="7"/>
  <c r="M26" i="7"/>
  <c r="N26" i="7" s="1"/>
  <c r="E26" i="7"/>
  <c r="N25" i="7"/>
  <c r="M25" i="7"/>
  <c r="E25" i="7"/>
  <c r="N24" i="7"/>
  <c r="M24" i="7"/>
  <c r="E24" i="7"/>
  <c r="M23" i="7"/>
  <c r="N23" i="7" s="1"/>
  <c r="E23" i="7"/>
  <c r="M22" i="7"/>
  <c r="N22" i="7" s="1"/>
  <c r="E22" i="7"/>
  <c r="M21" i="7"/>
  <c r="N21" i="7" s="1"/>
  <c r="E21" i="7"/>
  <c r="N20" i="7"/>
  <c r="M20" i="7"/>
  <c r="E20" i="7"/>
  <c r="M19" i="7"/>
  <c r="N19" i="7" s="1"/>
  <c r="E19" i="7"/>
  <c r="M18" i="7"/>
  <c r="N18" i="7" s="1"/>
  <c r="E18" i="7"/>
  <c r="M17" i="7"/>
  <c r="N17" i="7" s="1"/>
  <c r="E17" i="7"/>
  <c r="N16" i="7"/>
  <c r="M16" i="7"/>
  <c r="E16" i="7"/>
  <c r="M15" i="7"/>
  <c r="N15" i="7" s="1"/>
  <c r="E15" i="7"/>
  <c r="N14" i="7"/>
  <c r="M14" i="7"/>
  <c r="E14" i="7"/>
  <c r="M13" i="7"/>
  <c r="N13" i="7" s="1"/>
  <c r="E13" i="7"/>
  <c r="M12" i="7"/>
  <c r="N12" i="7" s="1"/>
  <c r="E12" i="7"/>
  <c r="M11" i="7"/>
  <c r="E11" i="7"/>
  <c r="M10" i="7"/>
  <c r="N10" i="7" s="1"/>
  <c r="E10" i="7"/>
  <c r="M9" i="7"/>
  <c r="E9" i="7"/>
  <c r="M8" i="7"/>
  <c r="N8" i="7" s="1"/>
  <c r="E8" i="7"/>
  <c r="M7" i="7"/>
  <c r="N7" i="7" s="1"/>
  <c r="E7" i="7"/>
  <c r="B57" i="6"/>
  <c r="B56" i="6"/>
  <c r="B55" i="6"/>
  <c r="B52" i="6"/>
  <c r="B51" i="6"/>
  <c r="B50" i="6"/>
  <c r="M45" i="6"/>
  <c r="N45" i="6" s="1"/>
  <c r="E45" i="6"/>
  <c r="M44" i="6"/>
  <c r="N44" i="6" s="1"/>
  <c r="E44" i="6"/>
  <c r="M43" i="6"/>
  <c r="N43" i="6" s="1"/>
  <c r="E43" i="6"/>
  <c r="M42" i="6"/>
  <c r="N42" i="6" s="1"/>
  <c r="E42" i="6"/>
  <c r="M41" i="6"/>
  <c r="N41" i="6" s="1"/>
  <c r="E41" i="6"/>
  <c r="M40" i="6"/>
  <c r="N40" i="6" s="1"/>
  <c r="E40" i="6"/>
  <c r="M39" i="6"/>
  <c r="N39" i="6" s="1"/>
  <c r="E39" i="6"/>
  <c r="M35" i="6"/>
  <c r="N35" i="6" s="1"/>
  <c r="M31" i="6"/>
  <c r="N31" i="6" s="1"/>
  <c r="M30" i="6"/>
  <c r="N30" i="6" s="1"/>
  <c r="E30" i="6"/>
  <c r="M29" i="6"/>
  <c r="N29" i="6" s="1"/>
  <c r="E29" i="6"/>
  <c r="M28" i="6"/>
  <c r="N28" i="6" s="1"/>
  <c r="E28" i="6"/>
  <c r="M27" i="6"/>
  <c r="N27" i="6" s="1"/>
  <c r="E27" i="6"/>
  <c r="M26" i="6"/>
  <c r="N26" i="6" s="1"/>
  <c r="E26" i="6"/>
  <c r="M25" i="6"/>
  <c r="N25" i="6" s="1"/>
  <c r="E25" i="6"/>
  <c r="M24" i="6"/>
  <c r="E24" i="6"/>
  <c r="M23" i="6"/>
  <c r="N23" i="6" s="1"/>
  <c r="E23" i="6"/>
  <c r="M22" i="6"/>
  <c r="N22" i="6" s="1"/>
  <c r="E22" i="6"/>
  <c r="M21" i="6"/>
  <c r="N21" i="6" s="1"/>
  <c r="E21" i="6"/>
  <c r="M20" i="6"/>
  <c r="N20" i="6" s="1"/>
  <c r="E20" i="6"/>
  <c r="M19" i="6"/>
  <c r="N19" i="6" s="1"/>
  <c r="E19" i="6"/>
  <c r="M18" i="6"/>
  <c r="N18" i="6" s="1"/>
  <c r="E18" i="6"/>
  <c r="M17" i="6"/>
  <c r="N17" i="6" s="1"/>
  <c r="E17" i="6"/>
  <c r="M16" i="6"/>
  <c r="N16" i="6" s="1"/>
  <c r="E16" i="6"/>
  <c r="M15" i="6"/>
  <c r="N15" i="6" s="1"/>
  <c r="E15" i="6"/>
  <c r="M14" i="6"/>
  <c r="N14" i="6" s="1"/>
  <c r="E14" i="6"/>
  <c r="M13" i="6"/>
  <c r="N13" i="6" s="1"/>
  <c r="E13" i="6"/>
  <c r="M12" i="6"/>
  <c r="N12" i="6" s="1"/>
  <c r="E12" i="6"/>
  <c r="M11" i="6"/>
  <c r="N11" i="6" s="1"/>
  <c r="E11" i="6"/>
  <c r="M10" i="6"/>
  <c r="N10" i="6" s="1"/>
  <c r="E10" i="6"/>
  <c r="M9" i="6"/>
  <c r="N9" i="6" s="1"/>
  <c r="M8" i="6"/>
  <c r="N8" i="6" s="1"/>
  <c r="M7" i="6"/>
  <c r="B58" i="5"/>
  <c r="B57" i="5"/>
  <c r="B56" i="5"/>
  <c r="B53" i="5"/>
  <c r="B52" i="5"/>
  <c r="B51" i="5"/>
  <c r="M46" i="5"/>
  <c r="N46" i="5" s="1"/>
  <c r="E46" i="5"/>
  <c r="M45" i="5"/>
  <c r="N45" i="5" s="1"/>
  <c r="E45" i="5"/>
  <c r="M44" i="5"/>
  <c r="N44" i="5" s="1"/>
  <c r="E44" i="5"/>
  <c r="M43" i="5"/>
  <c r="N43" i="5" s="1"/>
  <c r="E43" i="5"/>
  <c r="M42" i="5"/>
  <c r="N42" i="5" s="1"/>
  <c r="E42" i="5"/>
  <c r="M41" i="5"/>
  <c r="N41" i="5" s="1"/>
  <c r="E41" i="5"/>
  <c r="M40" i="5"/>
  <c r="N40" i="5" s="1"/>
  <c r="E40" i="5"/>
  <c r="M39" i="5"/>
  <c r="N39" i="5" s="1"/>
  <c r="E39" i="5"/>
  <c r="M38" i="5"/>
  <c r="N38" i="5" s="1"/>
  <c r="E38" i="5"/>
  <c r="M37" i="5"/>
  <c r="N37" i="5" s="1"/>
  <c r="E37" i="5"/>
  <c r="M36" i="5"/>
  <c r="N36" i="5" s="1"/>
  <c r="E36" i="5"/>
  <c r="M35" i="5"/>
  <c r="N35" i="5" s="1"/>
  <c r="E35" i="5"/>
  <c r="M34" i="5"/>
  <c r="N34" i="5" s="1"/>
  <c r="E34" i="5"/>
  <c r="M33" i="5"/>
  <c r="N33" i="5" s="1"/>
  <c r="E33" i="5"/>
  <c r="M32" i="5"/>
  <c r="N32" i="5" s="1"/>
  <c r="E32" i="5"/>
  <c r="M31" i="5"/>
  <c r="N31" i="5" s="1"/>
  <c r="E31" i="5"/>
  <c r="M30" i="5"/>
  <c r="N30" i="5" s="1"/>
  <c r="E30" i="5"/>
  <c r="M29" i="5"/>
  <c r="N29" i="5" s="1"/>
  <c r="E29" i="5"/>
  <c r="M28" i="5"/>
  <c r="N28" i="5" s="1"/>
  <c r="E28" i="5"/>
  <c r="M27" i="5"/>
  <c r="N27" i="5" s="1"/>
  <c r="E27" i="5"/>
  <c r="M26" i="5"/>
  <c r="N26" i="5" s="1"/>
  <c r="E26" i="5"/>
  <c r="M25" i="5"/>
  <c r="N25" i="5" s="1"/>
  <c r="E25" i="5"/>
  <c r="M24" i="5"/>
  <c r="N24" i="5" s="1"/>
  <c r="E24" i="5"/>
  <c r="M23" i="5"/>
  <c r="N23" i="5" s="1"/>
  <c r="E23" i="5"/>
  <c r="M22" i="5"/>
  <c r="N22" i="5" s="1"/>
  <c r="E22" i="5"/>
  <c r="M21" i="5"/>
  <c r="N21" i="5" s="1"/>
  <c r="E21" i="5"/>
  <c r="M20" i="5"/>
  <c r="N20" i="5" s="1"/>
  <c r="E20" i="5"/>
  <c r="M19" i="5"/>
  <c r="N19" i="5" s="1"/>
  <c r="E19" i="5"/>
  <c r="M18" i="5"/>
  <c r="N18" i="5" s="1"/>
  <c r="E18" i="5"/>
  <c r="M17" i="5"/>
  <c r="N17" i="5" s="1"/>
  <c r="E17" i="5"/>
  <c r="M16" i="5"/>
  <c r="N16" i="5" s="1"/>
  <c r="E16" i="5"/>
  <c r="M15" i="5"/>
  <c r="N15" i="5" s="1"/>
  <c r="E15" i="5"/>
  <c r="M14" i="5"/>
  <c r="N14" i="5" s="1"/>
  <c r="E14" i="5"/>
  <c r="M11" i="5"/>
  <c r="N11" i="5" s="1"/>
  <c r="E11" i="5"/>
  <c r="M10" i="5"/>
  <c r="N10" i="5" s="1"/>
  <c r="M9" i="5"/>
  <c r="N9" i="5" s="1"/>
  <c r="E9" i="5"/>
  <c r="M8" i="5"/>
  <c r="N8" i="5" s="1"/>
  <c r="E8" i="5"/>
  <c r="M7" i="5"/>
  <c r="G7" i="1" s="1"/>
  <c r="E7" i="5"/>
  <c r="B58" i="4"/>
  <c r="B57" i="4"/>
  <c r="B56" i="4"/>
  <c r="B53" i="4"/>
  <c r="B52" i="4"/>
  <c r="B51" i="4"/>
  <c r="M46" i="4"/>
  <c r="N46" i="4" s="1"/>
  <c r="E46" i="4"/>
  <c r="M45" i="4"/>
  <c r="N45" i="4" s="1"/>
  <c r="E45" i="4"/>
  <c r="M44" i="4"/>
  <c r="N44" i="4" s="1"/>
  <c r="E44" i="4"/>
  <c r="M43" i="4"/>
  <c r="N43" i="4" s="1"/>
  <c r="E43" i="4"/>
  <c r="M42" i="4"/>
  <c r="N42" i="4" s="1"/>
  <c r="E42" i="4"/>
  <c r="M41" i="4"/>
  <c r="N41" i="4" s="1"/>
  <c r="E41" i="4"/>
  <c r="M40" i="4"/>
  <c r="N40" i="4" s="1"/>
  <c r="E40" i="4"/>
  <c r="M39" i="4"/>
  <c r="N39" i="4" s="1"/>
  <c r="E39" i="4"/>
  <c r="M38" i="4"/>
  <c r="N38" i="4" s="1"/>
  <c r="E38" i="4"/>
  <c r="M37" i="4"/>
  <c r="N37" i="4" s="1"/>
  <c r="E37" i="4"/>
  <c r="M36" i="4"/>
  <c r="N36" i="4" s="1"/>
  <c r="E36" i="4"/>
  <c r="M35" i="4"/>
  <c r="N35" i="4" s="1"/>
  <c r="E35" i="4"/>
  <c r="M34" i="4"/>
  <c r="N34" i="4" s="1"/>
  <c r="E34" i="4"/>
  <c r="M33" i="4"/>
  <c r="N33" i="4" s="1"/>
  <c r="E33" i="4"/>
  <c r="M32" i="4"/>
  <c r="N32" i="4" s="1"/>
  <c r="E32" i="4"/>
  <c r="M31" i="4"/>
  <c r="N31" i="4" s="1"/>
  <c r="E31" i="4"/>
  <c r="M30" i="4"/>
  <c r="N30" i="4" s="1"/>
  <c r="E30" i="4"/>
  <c r="M29" i="4"/>
  <c r="N29" i="4" s="1"/>
  <c r="E29" i="4"/>
  <c r="M28" i="4"/>
  <c r="N28" i="4" s="1"/>
  <c r="E28" i="4"/>
  <c r="M27" i="4"/>
  <c r="N27" i="4" s="1"/>
  <c r="E27" i="4"/>
  <c r="M26" i="4"/>
  <c r="N26" i="4" s="1"/>
  <c r="E26" i="4"/>
  <c r="M25" i="4"/>
  <c r="N25" i="4" s="1"/>
  <c r="E25" i="4"/>
  <c r="M24" i="4"/>
  <c r="N24" i="4" s="1"/>
  <c r="M23" i="4"/>
  <c r="N23" i="4" s="1"/>
  <c r="E23" i="4"/>
  <c r="M22" i="4"/>
  <c r="N22" i="4" s="1"/>
  <c r="E22" i="4"/>
  <c r="M21" i="4"/>
  <c r="N21" i="4" s="1"/>
  <c r="E21" i="4"/>
  <c r="M20" i="4"/>
  <c r="N20" i="4" s="1"/>
  <c r="E20" i="4"/>
  <c r="M19" i="4"/>
  <c r="N19" i="4" s="1"/>
  <c r="E19" i="4"/>
  <c r="M18" i="4"/>
  <c r="N18" i="4" s="1"/>
  <c r="E18" i="4"/>
  <c r="M17" i="4"/>
  <c r="N17" i="4" s="1"/>
  <c r="E17" i="4"/>
  <c r="M16" i="4"/>
  <c r="N16" i="4" s="1"/>
  <c r="E16" i="4"/>
  <c r="M15" i="4"/>
  <c r="N15" i="4" s="1"/>
  <c r="E15" i="4"/>
  <c r="M13" i="4"/>
  <c r="N13" i="4" s="1"/>
  <c r="E13" i="4"/>
  <c r="M12" i="4"/>
  <c r="N12" i="4" s="1"/>
  <c r="E12" i="4"/>
  <c r="N9" i="7" l="1"/>
  <c r="H9" i="1" s="1"/>
  <c r="G9" i="1"/>
  <c r="B54" i="7"/>
  <c r="N7" i="8"/>
  <c r="G10" i="1"/>
  <c r="B54" i="4"/>
  <c r="G6" i="1"/>
  <c r="K12" i="1"/>
  <c r="N24" i="6"/>
  <c r="G8" i="1"/>
  <c r="G12" i="1"/>
  <c r="N7" i="6"/>
  <c r="B55" i="9"/>
  <c r="B52" i="8"/>
  <c r="N7" i="5"/>
  <c r="H7" i="1" s="1"/>
  <c r="N10" i="8"/>
  <c r="H6" i="1"/>
  <c r="N11" i="7"/>
  <c r="B55" i="7" s="1"/>
  <c r="B53" i="6"/>
  <c r="B54" i="6"/>
  <c r="B54" i="5"/>
  <c r="B54" i="9"/>
  <c r="H8" i="1" l="1"/>
  <c r="H10" i="1"/>
  <c r="H12" i="1"/>
  <c r="B55" i="4"/>
  <c r="B55" i="5"/>
  <c r="B53" i="8"/>
</calcChain>
</file>

<file path=xl/sharedStrings.xml><?xml version="1.0" encoding="utf-8"?>
<sst xmlns="http://schemas.openxmlformats.org/spreadsheetml/2006/main" count="1908" uniqueCount="746">
  <si>
    <t>Task Category</t>
  </si>
  <si>
    <t>AI Tool Used</t>
  </si>
  <si>
    <t>Development</t>
  </si>
  <si>
    <t>Github Copilot</t>
  </si>
  <si>
    <t>Database</t>
  </si>
  <si>
    <t>Cursor</t>
  </si>
  <si>
    <t>Documentation</t>
  </si>
  <si>
    <t>Codex</t>
  </si>
  <si>
    <t>Testing</t>
  </si>
  <si>
    <t>Claude</t>
  </si>
  <si>
    <t>Code Review</t>
  </si>
  <si>
    <t>ChatGPT</t>
  </si>
  <si>
    <t>Gemini</t>
  </si>
  <si>
    <t>EAS AI Adoption – Overall Weekly Progress Summary</t>
  </si>
  <si>
    <t>EAS Overall AI SPOC: Omar Ibrahim</t>
  </si>
  <si>
    <t>Practice-Level Weekly Summary</t>
  </si>
  <si>
    <t>Practice</t>
  </si>
  <si>
    <t>Practice Head</t>
  </si>
  <si>
    <t>AI SPOC</t>
  </si>
  <si>
    <t>Total Tasks</t>
  </si>
  <si>
    <t>Time Without AI (hrs)</t>
  </si>
  <si>
    <t>Time With AI (hrs)</t>
  </si>
  <si>
    <t>Time Saved (hrs)</t>
  </si>
  <si>
    <t>Avg Efficiency %</t>
  </si>
  <si>
    <t>Avg Quality (1-5)</t>
  </si>
  <si>
    <t>Completed Tasks</t>
  </si>
  <si>
    <t>Projects</t>
  </si>
  <si>
    <t>ERP Solutions</t>
  </si>
  <si>
    <t>Amer Farghaly</t>
  </si>
  <si>
    <t>Reham Ibrahim</t>
  </si>
  <si>
    <t>Customer Engagement Solutions</t>
  </si>
  <si>
    <t>Osama Nagdy</t>
  </si>
  <si>
    <t>Norah Al Wabel</t>
  </si>
  <si>
    <t>Financial Services Solutions (BFSI)</t>
  </si>
  <si>
    <t>Mohab ElHaddad</t>
  </si>
  <si>
    <t>Omar Ibrahim</t>
  </si>
  <si>
    <t>Payments Solutions EPS</t>
  </si>
  <si>
    <t>Mohamed Ziaudin</t>
  </si>
  <si>
    <t>Yousef Milhem</t>
  </si>
  <si>
    <t>GRC</t>
  </si>
  <si>
    <t>Ahmed Madkour</t>
  </si>
  <si>
    <t>Mohamed Essam</t>
  </si>
  <si>
    <t>Enterprise Portfolio &amp; Content Solutions</t>
  </si>
  <si>
    <t>Mohamed Mobarak</t>
  </si>
  <si>
    <t>Ahmed Shaheen</t>
  </si>
  <si>
    <t>OVERALL TOTAL</t>
  </si>
  <si>
    <t>Time Saved by Practice (hrs)</t>
  </si>
  <si>
    <t>EAS AI Adoption – Standalone Accomplishments Log</t>
  </si>
  <si>
    <t>Record notable AI-driven wins, POCs, and value-adds that fall outside regular weekly task tracking.</t>
  </si>
  <si>
    <t>#</t>
  </si>
  <si>
    <t>Date</t>
  </si>
  <si>
    <t>Project</t>
  </si>
  <si>
    <t>Project Code</t>
  </si>
  <si>
    <t>SPOC / Lead</t>
  </si>
  <si>
    <t>Employee(s) Involved</t>
  </si>
  <si>
    <t>Accomplishment Title</t>
  </si>
  <si>
    <t>Accomplishment Details</t>
  </si>
  <si>
    <t>Category</t>
  </si>
  <si>
    <t>Before AI (Baseline)</t>
  </si>
  <si>
    <t>After AI (Result)</t>
  </si>
  <si>
    <t>Quantified Impact</t>
  </si>
  <si>
    <t>Business Gains</t>
  </si>
  <si>
    <t>Cost to Client</t>
  </si>
  <si>
    <t>Effort Saved (hrs)</t>
  </si>
  <si>
    <t>Status</t>
  </si>
  <si>
    <t>Evidence / Links</t>
  </si>
  <si>
    <t>Management Notes</t>
  </si>
  <si>
    <t>BFSI</t>
  </si>
  <si>
    <t>Go Money</t>
  </si>
  <si>
    <t>Moemen Morsy/Al Moataz ibrahim</t>
  </si>
  <si>
    <t>Full LMS Code Review &amp; Remediation</t>
  </si>
  <si>
    <t>Performed a comprehensive code review of the entire LMS codebase using GitHub Copilot. Identified critical code quality issues, security vulnerabilities, and performance bottlenecks. Applied AI-assisted code modifications and refactoring to improve maintainability, readability, and overall health of the codebase.</t>
  </si>
  <si>
    <t>Health Score: 2.5 / 10</t>
  </si>
  <si>
    <t>Health Score: 6.8 / 10</t>
  </si>
  <si>
    <t>Health score improved by +4.3 (172% improvement)</t>
  </si>
  <si>
    <t>Client trust &amp; confidence restored; reduced technical debt; improved code maintainability; strengthened delivery credibility</t>
  </si>
  <si>
    <t>Free of Cost</t>
  </si>
  <si>
    <t>Completed</t>
  </si>
  <si>
    <t>First AI accomplishment logged for BFSI practice</t>
  </si>
  <si>
    <t>EPCS</t>
  </si>
  <si>
    <t>IT &amp; Digital Transformation - Clarity Implementation</t>
  </si>
  <si>
    <t>C1009701</t>
  </si>
  <si>
    <t xml:space="preserve">Eyad Ahmed / Menna Allah Ali </t>
  </si>
  <si>
    <t>AI‑assisted data migration validation &amp; export</t>
  </si>
  <si>
    <t>Built a Python Tkinter desktop application that automates end‑to‑end data migration prep. The app ingests .xlsx files, applies JSON‑based validation rules, highlights invalid rows with error reasons, enables in‑app corrections, and exports both an error report (.xlsx) and multiple import‑ready .csv batches (&lt;=200 rows). Validation rules are configurable and reusable, reducing manual review, rework, and import delays.</t>
  </si>
  <si>
    <t>Application Development</t>
  </si>
  <si>
    <t>Cycle Time: 3.0 hrs per file</t>
  </si>
  <si>
    <t>Cycle Time: 1.0 hr per file</t>
  </si>
  <si>
    <t>Time reduced from 3 hrs to 1 hr per file (‑2 hrs, ~67% faster).</t>
  </si>
  <si>
    <t>Faster turnaround, fewer errors, standardized validation and batching.</t>
  </si>
  <si>
    <t>Demo</t>
  </si>
  <si>
    <t> </t>
  </si>
  <si>
    <t>ART - Alfresco DMS Production Support Services</t>
  </si>
  <si>
    <t>Ahmed AlSareti</t>
  </si>
  <si>
    <t>Omar GamalEldeen / 
Abdullah Al Duwaihi / Mahinour Emad Kadry</t>
  </si>
  <si>
    <t>application development and configuration</t>
  </si>
  <si>
    <t xml:space="preserve">add and configure HTTP-to-HTTPS proxy to Alfresco Kubernetes cluster to keep Elastisearch secured </t>
  </si>
  <si>
    <t>Application configuration</t>
  </si>
  <si>
    <t xml:space="preserve">Development and configuration time had been reduced from 8 hrs to 1 hr </t>
  </si>
  <si>
    <t>Faser to finalize customer CR</t>
  </si>
  <si>
    <t>testing</t>
  </si>
  <si>
    <t>15/3/2026</t>
  </si>
  <si>
    <t>DMS Activities</t>
  </si>
  <si>
    <t>51014108-001</t>
  </si>
  <si>
    <t>application development</t>
  </si>
  <si>
    <t>update Alfresco workspace front-end application (Angular) to allow search by metadata</t>
  </si>
  <si>
    <t xml:space="preserve">Development and configuration time had been reduced from 1 week to 2 days </t>
  </si>
  <si>
    <t>enhance internal web applications development</t>
  </si>
  <si>
    <t>https://github.com/ejadasa-copilot-business/alfresco-digital-workspace</t>
  </si>
  <si>
    <t>ERP Projects</t>
  </si>
  <si>
    <t>CES Projects</t>
  </si>
  <si>
    <t>BFSI Projects</t>
  </si>
  <si>
    <t>EPS Projects</t>
  </si>
  <si>
    <t>GRC Projects</t>
  </si>
  <si>
    <t>EPCS Projects</t>
  </si>
  <si>
    <t>Project Name</t>
  </si>
  <si>
    <t>RRM ERP Cloud Services Implementation</t>
  </si>
  <si>
    <t>MOH - Portals Support &amp; Management</t>
  </si>
  <si>
    <t>Project C-Personal Finance</t>
  </si>
  <si>
    <t>Migration of TiPlus backend interfaces to MQ based MT &amp; MX</t>
  </si>
  <si>
    <t>VAT Application Support</t>
  </si>
  <si>
    <t>ITSM Project</t>
  </si>
  <si>
    <t>C1007201</t>
  </si>
  <si>
    <t>تطوير الملف التعريفي الموحد للعملاء</t>
  </si>
  <si>
    <t>Go Money MICRO FINANCE LENDING PLATFORM</t>
  </si>
  <si>
    <t>A1023401</t>
  </si>
  <si>
    <t>ANB EPS Corporate Module</t>
  </si>
  <si>
    <t>ANB Change Request VAT Reconcilation</t>
  </si>
  <si>
    <t>tawtheeq service now crm</t>
  </si>
  <si>
    <t>Emkan E-Commerce</t>
  </si>
  <si>
    <t>ANB Consumer Loans Historical Reconcilation</t>
  </si>
  <si>
    <t>Emkan Revamp</t>
  </si>
  <si>
    <t>RRM ERP Cloud Services Implementation 15/12/2025</t>
  </si>
  <si>
    <t>Emkan - BNPL Implementation (LMS + LOS)</t>
  </si>
  <si>
    <t>Emkan - Apple Project Implementation</t>
  </si>
  <si>
    <t>Emkan - SME Product Suite Implementation (B2B)</t>
  </si>
  <si>
    <t>EMKAN Vulnerability Report</t>
  </si>
  <si>
    <t>TDF Transact Support and Enhancement - Temenos T24</t>
  </si>
  <si>
    <t>TDF - Risk Monitoring and Reporting Portal</t>
  </si>
  <si>
    <t>ARB Digital Core Banking - Personal Finance</t>
  </si>
  <si>
    <t>Pracitce</t>
  </si>
  <si>
    <t>Resource Name</t>
  </si>
  <si>
    <t>Resource Emaid ID</t>
  </si>
  <si>
    <t>Skill</t>
  </si>
  <si>
    <t>Remarks</t>
  </si>
  <si>
    <t>Business line</t>
  </si>
  <si>
    <t xml:space="preserve">Ibrahim Amin </t>
  </si>
  <si>
    <t xml:space="preserve">iamin@ejada.com    </t>
  </si>
  <si>
    <t>Developer Team Lead</t>
  </si>
  <si>
    <t>access granted</t>
  </si>
  <si>
    <t>LOS</t>
  </si>
  <si>
    <t>Omar Ghazalah</t>
  </si>
  <si>
    <t>oghazalah@ejada.com</t>
  </si>
  <si>
    <t xml:space="preserve">Omar Ibrahim </t>
  </si>
  <si>
    <t>oibrahim@ejada.com</t>
  </si>
  <si>
    <t xml:space="preserve">Solution Architect </t>
  </si>
  <si>
    <t>Amr Akady</t>
  </si>
  <si>
    <t>amr.alkady@ejada.com</t>
  </si>
  <si>
    <t xml:space="preserve">Miral Soliman </t>
  </si>
  <si>
    <t>miral.soliman@ejada.com</t>
  </si>
  <si>
    <t>Business Analyst</t>
  </si>
  <si>
    <t>Gahada Bakry</t>
  </si>
  <si>
    <t>gbakry@ejada.com</t>
  </si>
  <si>
    <t xml:space="preserve">Bassem Nasr </t>
  </si>
  <si>
    <t>basim.nasir@ejada.com</t>
  </si>
  <si>
    <t>LEAD BUSINESS ARCHITECT</t>
  </si>
  <si>
    <t>Mohammed Omar Eid</t>
  </si>
  <si>
    <t>moeid@ejada.com</t>
  </si>
  <si>
    <t>Senior Enterprise Architect</t>
  </si>
  <si>
    <t>Islam Mohamed</t>
  </si>
  <si>
    <t>imohamed@ejada.com</t>
  </si>
  <si>
    <t>Analyst/Senior Developer</t>
  </si>
  <si>
    <t>Nourane Elkhawalka</t>
  </si>
  <si>
    <t>nelkhawalka@ejada.com</t>
  </si>
  <si>
    <t>Delivery Manager</t>
  </si>
  <si>
    <t>Sabreen AbdElmaguid</t>
  </si>
  <si>
    <t>sabdelmaguid@ejada.com</t>
  </si>
  <si>
    <t xml:space="preserve">Youssuf Elshayeb </t>
  </si>
  <si>
    <t>yelshayeb@ejada.com </t>
  </si>
  <si>
    <t>Developer</t>
  </si>
  <si>
    <t xml:space="preserve">Farah Hassaan </t>
  </si>
  <si>
    <t>fhassaan@ejada.com </t>
  </si>
  <si>
    <t xml:space="preserve">Moustafa Daebis </t>
  </si>
  <si>
    <t>mdaebis@ejada.com </t>
  </si>
  <si>
    <t xml:space="preserve">Seif Eldin Amr </t>
  </si>
  <si>
    <t>seifeldin.amr@ejada.com</t>
  </si>
  <si>
    <t xml:space="preserve">AL-Moataz Bellah Khamis Ahmed </t>
  </si>
  <si>
    <t>abellah@ejada.com</t>
  </si>
  <si>
    <t>Nour Eldin Hazem Abdelsalam</t>
  </si>
  <si>
    <t>nhabdelsalam@ejada.com</t>
  </si>
  <si>
    <t xml:space="preserve">Yara Elmelegy  </t>
  </si>
  <si>
    <t>yelmelegy@ejada.com</t>
  </si>
  <si>
    <t>Rafeef Alsealo</t>
  </si>
  <si>
    <t>ralsealo@ejada.com</t>
  </si>
  <si>
    <t>Abdulrahman Alafandy</t>
  </si>
  <si>
    <t>aalafandy@ejada.com</t>
  </si>
  <si>
    <t>Technical Team Lead</t>
  </si>
  <si>
    <t xml:space="preserve">Ahmed Said Mohamed </t>
  </si>
  <si>
    <t>amsaid@ejada.com</t>
  </si>
  <si>
    <t xml:space="preserve">Mariam Elshimi </t>
  </si>
  <si>
    <t>melshimi@ejada.com</t>
  </si>
  <si>
    <t xml:space="preserve">Manar Elsayed </t>
  </si>
  <si>
    <t>maelsayed-v@ejada.com</t>
  </si>
  <si>
    <t>pending</t>
  </si>
  <si>
    <t xml:space="preserve">Maram Motaz </t>
  </si>
  <si>
    <t>mmotaz@ejada.com</t>
  </si>
  <si>
    <t>Ahmad Nouh</t>
  </si>
  <si>
    <t>anouh@ejada.com</t>
  </si>
  <si>
    <t xml:space="preserve">Farah Elgendy                  </t>
  </si>
  <si>
    <t xml:space="preserve">felgendy@ejada.com      </t>
  </si>
  <si>
    <t xml:space="preserve">Salma Ahmed Abdelsalam Mostafa </t>
  </si>
  <si>
    <t>salma.ahmed@ejada.com</t>
  </si>
  <si>
    <t xml:space="preserve">Ziad Elkhazendar               </t>
  </si>
  <si>
    <t>zelkhazendar@ejada.com</t>
  </si>
  <si>
    <t xml:space="preserve">Ingy Ibrahim                   </t>
  </si>
  <si>
    <t>iibrahim@ejada.com</t>
  </si>
  <si>
    <t>Hossam Gamal Abdelhaleem</t>
  </si>
  <si>
    <t>hgamal@ejada.com</t>
  </si>
  <si>
    <t>Technical Project Manager</t>
  </si>
  <si>
    <t>Amr Nady</t>
  </si>
  <si>
    <t>anady@ejada.com</t>
  </si>
  <si>
    <t>Ahmed Elsahamy</t>
  </si>
  <si>
    <t>aelsahlamy@ejada.com</t>
  </si>
  <si>
    <t>Ahmad Elkilany</t>
  </si>
  <si>
    <t>aelkilany@ejada.com</t>
  </si>
  <si>
    <t>AbdelRahman Badr Kamel</t>
  </si>
  <si>
    <t>abadr@ejada.com</t>
  </si>
  <si>
    <t>Marry Waseem</t>
  </si>
  <si>
    <t>mwaseem@ejada.com</t>
  </si>
  <si>
    <t>Abdelrahman Mohamed Khalil</t>
  </si>
  <si>
    <t>amkhalil@ejada.com</t>
  </si>
  <si>
    <t>Mohammed Abdulelah Al Harbi</t>
  </si>
  <si>
    <t>maalharbi@ejada.com</t>
  </si>
  <si>
    <t>Yahia Zaky</t>
  </si>
  <si>
    <t>yzaky@ejada.com</t>
  </si>
  <si>
    <t>Youmna Elmezyn</t>
  </si>
  <si>
    <t>yelmezyn@ejada.com</t>
  </si>
  <si>
    <t>Hakeemah Alharbi</t>
  </si>
  <si>
    <t>halharbi@ejada.com</t>
  </si>
  <si>
    <t>Osama Alhasson</t>
  </si>
  <si>
    <t>oalhasson@ejada.com</t>
  </si>
  <si>
    <t>CES</t>
  </si>
  <si>
    <t>Ahmed Ibrahim</t>
  </si>
  <si>
    <t>aibrahim@ejada.com</t>
  </si>
  <si>
    <t>Maisam Ali</t>
  </si>
  <si>
    <t>maisam@ejada.com</t>
  </si>
  <si>
    <t>Project Manager</t>
  </si>
  <si>
    <t>Umair Saleh</t>
  </si>
  <si>
    <t>usaleh@ejada.com</t>
  </si>
  <si>
    <t>Data Engineer</t>
  </si>
  <si>
    <t>Yousef Elshabrawy</t>
  </si>
  <si>
    <t>yelshabrawy@ejada.com</t>
  </si>
  <si>
    <t>Software Engineer</t>
  </si>
  <si>
    <t>ERP</t>
  </si>
  <si>
    <t>rmibrahim@ejada.com</t>
  </si>
  <si>
    <t>Development / Team Lead</t>
  </si>
  <si>
    <t>AmerFarghaly</t>
  </si>
  <si>
    <t>afarghaly@ejada.com</t>
  </si>
  <si>
    <t>ERP unit Manager</t>
  </si>
  <si>
    <t>Osama Yehia Mohamed Mohamed Awad</t>
  </si>
  <si>
    <t>oyehia@ejada.com</t>
  </si>
  <si>
    <t>Functional / Sr. Associate</t>
  </si>
  <si>
    <t xml:space="preserve">Salma Saeed Mahmoud Gharib </t>
  </si>
  <si>
    <t>sgharib@ejada.com</t>
  </si>
  <si>
    <t>Development / Developer</t>
  </si>
  <si>
    <t xml:space="preserve">Mohamed Ayman Said Mahmoud </t>
  </si>
  <si>
    <t>masaid@ejada.com</t>
  </si>
  <si>
    <t>Ahmed Waleed Mostafa Abdelhalem Ali</t>
  </si>
  <si>
    <t>awkhalifa@ejada.com</t>
  </si>
  <si>
    <t>Reda Abdullah Elsayed Abdelmalak ElMekawy</t>
  </si>
  <si>
    <t>relmekawy@ejada.com</t>
  </si>
  <si>
    <t>Development / Team Leader</t>
  </si>
  <si>
    <t>Mohamed Saad Ali Ali Elazaly</t>
  </si>
  <si>
    <t>mselazaly@ejada.com</t>
  </si>
  <si>
    <t>Development / Sr. Developer</t>
  </si>
  <si>
    <t>Mohamed Emad Ahmed Mansour Mohamed Mansour</t>
  </si>
  <si>
    <t>memansour@ejada.com</t>
  </si>
  <si>
    <t>Nour Mahmoud Ali Mahmoud Nafady</t>
  </si>
  <si>
    <t>nour.nafady@ejada.com</t>
  </si>
  <si>
    <t>Nada Ali Hassan Ahmed Abdelrahim</t>
  </si>
  <si>
    <t>nada.abdelrahim@ejada.com</t>
  </si>
  <si>
    <t>Khaled Ossama Abdelrahman Mohamed Abouelella</t>
  </si>
  <si>
    <t>kossama@ejada.com</t>
  </si>
  <si>
    <t>IBRAHIM HASSAN ABDELSAMAD ZAYED</t>
  </si>
  <si>
    <t>izayed@ejada.com</t>
  </si>
  <si>
    <t>DBA / Team Leader</t>
  </si>
  <si>
    <t>Doaa Mohamed Mohamed Mostafa</t>
  </si>
  <si>
    <t>doaa.mostafa@ejada.com</t>
  </si>
  <si>
    <t>Development / Sr. Team Leader</t>
  </si>
  <si>
    <t>MAHMOUD NAEL ABDULLAH DRAIDI</t>
  </si>
  <si>
    <t>mdraidi@ejada.com</t>
  </si>
  <si>
    <t>TARIQ MOHAMMED S ALNASYAN</t>
  </si>
  <si>
    <t>talnasyan@ejada.com</t>
  </si>
  <si>
    <t>MANAR EMAD F ALSHAREEF</t>
  </si>
  <si>
    <t>malshareef@ejada.com</t>
  </si>
  <si>
    <t>MAHA HMOUD M ALAAMRI</t>
  </si>
  <si>
    <t>maha.alaamri@ejada.com</t>
  </si>
  <si>
    <t>RENAD SAEED S ALSHEHRI</t>
  </si>
  <si>
    <t>ranad.alshehri@ejada.com</t>
  </si>
  <si>
    <t>HANIN KHALID M ALSHAMRANI</t>
  </si>
  <si>
    <t>halshamrani@ejada.com</t>
  </si>
  <si>
    <t>Mahmoud Ahmed Mohamed Hussein Shalaby</t>
  </si>
  <si>
    <t>mshalaby@ejada.com</t>
  </si>
  <si>
    <t>Functional / Team Leader</t>
  </si>
  <si>
    <t>Hossam Fahim Abdelhakeem Mohamed</t>
  </si>
  <si>
    <t>hfmohamed@ejada.com</t>
  </si>
  <si>
    <t>ADEL MOHAMED AHMED MOHAMED</t>
  </si>
  <si>
    <t>aamohamed@ejada.com</t>
  </si>
  <si>
    <t>Functional / Sr. Team Leader</t>
  </si>
  <si>
    <t xml:space="preserve">Abdelrahman Hatem Metwally Mahmoud </t>
  </si>
  <si>
    <t>ametwally@ejada.com</t>
  </si>
  <si>
    <t>MOHAMMED KHALIFAH SAEED BAHNASAWI</t>
  </si>
  <si>
    <t>mkhalifah@ejada.com</t>
  </si>
  <si>
    <t>Functional / Consultant</t>
  </si>
  <si>
    <t>ADEL ELSAID MOHAMED MOUSTAFA</t>
  </si>
  <si>
    <t>aelsaid@ejada.com</t>
  </si>
  <si>
    <t>HAITHAM HANI AHMED MAAMOUN SALLAM</t>
  </si>
  <si>
    <t>hsallam@ejada.com</t>
  </si>
  <si>
    <t>ELSAYED ISMAEL ELSAYED MOHAMED IBRAHIM</t>
  </si>
  <si>
    <t>eismail@ejada.com</t>
  </si>
  <si>
    <t>Management</t>
  </si>
  <si>
    <t>Omar Ragab Hassan Salem</t>
  </si>
  <si>
    <t>osalem@ejada.com</t>
  </si>
  <si>
    <t>MOHAMED ABD ELKHALEK ELSAKA IBRAHIIM</t>
  </si>
  <si>
    <t>melsaka@ejada.com</t>
  </si>
  <si>
    <t>Development / Sr. Consultant</t>
  </si>
  <si>
    <t>HAYTHAM MOHAMED ABDELHAMID ELSAYED</t>
  </si>
  <si>
    <t>helsayed@ejada.com</t>
  </si>
  <si>
    <t>Islam Zaki</t>
  </si>
  <si>
    <t>islam.zaki@ejada.com</t>
  </si>
  <si>
    <t xml:space="preserve">Salma Yousry AbdElmetal  Amin </t>
  </si>
  <si>
    <t>syabdelmetal@ejada.com</t>
  </si>
  <si>
    <t>Hossam Wally Ibrahim Wally</t>
  </si>
  <si>
    <t>hossam.wally@ejada.com</t>
  </si>
  <si>
    <t>Shaimaa Molouk Mohamed Ibrahim Abdallah</t>
  </si>
  <si>
    <t>shaimaa.abdallah@ejada.com</t>
  </si>
  <si>
    <t>MOSTAFA MOHARRAM ABDEL LATIF GHOBASHY</t>
  </si>
  <si>
    <t>mghobashy@ejada.com</t>
  </si>
  <si>
    <t>MOHAMMED OMAR MOHAMMED ALBALKHI</t>
  </si>
  <si>
    <t>Malbalkhi@ejada.com</t>
  </si>
  <si>
    <t>Development / Consultant</t>
  </si>
  <si>
    <t>IBRAHEEM FAYAK IBRAHEEM HASAN</t>
  </si>
  <si>
    <t>ifhassan@ejada.com</t>
  </si>
  <si>
    <t>NIJAMUDEEN SHIEK ALAWUDEEN</t>
  </si>
  <si>
    <t>nalawudeen@ejada.com</t>
  </si>
  <si>
    <t>ABDULELAH HADYAN H ALTHUWAYBI</t>
  </si>
  <si>
    <t>aalthuwaybi@ejada.com</t>
  </si>
  <si>
    <t>ABDULAZIZ AHMED A ALANAZI</t>
  </si>
  <si>
    <t>aaalanazi@ejada.com</t>
  </si>
  <si>
    <t>MOHAMMED SAEED RAJAB SHABAAN</t>
  </si>
  <si>
    <t>mshaaban@ejada.com</t>
  </si>
  <si>
    <t>MOHAMMAD SAYED AHMED HAMMAM</t>
  </si>
  <si>
    <t>mhamam@ejada.com</t>
  </si>
  <si>
    <t>Ahmed Ibrahim Ahmed Ali Kotb</t>
  </si>
  <si>
    <t>akotb@ejada.com</t>
  </si>
  <si>
    <t>HOSSAM FARAJ MOHAMED ABDELMEGUID</t>
  </si>
  <si>
    <t>hmohammed@ejada.com</t>
  </si>
  <si>
    <t>HASSAN HUSSEIN ABDALLAH MANTAWY</t>
  </si>
  <si>
    <t>hmantawy@ejada.com</t>
  </si>
  <si>
    <t>MUSTAFA MOHAMED SHEHATA RADWAN</t>
  </si>
  <si>
    <t>mostafa@ejada.com</t>
  </si>
  <si>
    <t>Mohamed Hassan Abdelaziz Sallam</t>
  </si>
  <si>
    <t>msallam@ejada.com</t>
  </si>
  <si>
    <t>TAHER MOHAMED ELSAID MESBAH</t>
  </si>
  <si>
    <t>telsaaed@ejada.com</t>
  </si>
  <si>
    <t xml:space="preserve">Ranim Mahmoud Ahmed ElShafie </t>
  </si>
  <si>
    <t>rmelshafie@ejada.com</t>
  </si>
  <si>
    <t>Mostafa Fathy Abdelwahab Mohamed Emara</t>
  </si>
  <si>
    <t>memara@ejada.com</t>
  </si>
  <si>
    <t>Sama Abdullah Zakaria AboAlnaja</t>
  </si>
  <si>
    <t>szakaria@ejada.com</t>
  </si>
  <si>
    <t>Abdallah Ibrahim Abdullah Othman Saleh</t>
  </si>
  <si>
    <t>aisaleh@ejada.com</t>
  </si>
  <si>
    <t>Islam Ahmed Mohamed Hassanin</t>
  </si>
  <si>
    <t>ihassanin@ejada.com</t>
  </si>
  <si>
    <t>Omar Magdy</t>
  </si>
  <si>
    <t>oabdelhameed@ejada.com</t>
  </si>
  <si>
    <t>Ahmed Elmissiry</t>
  </si>
  <si>
    <t>aelmissiry@ejada.com</t>
  </si>
  <si>
    <t>AHMED ABDUL HAMEED RAGAB ABDEL HAMID</t>
  </si>
  <si>
    <t>aabdelhamid@ejada.com</t>
  </si>
  <si>
    <t>Functional / SME</t>
  </si>
  <si>
    <t>MOHAMMED MAHMOUD AHMED SAYED EL ESAWEE</t>
  </si>
  <si>
    <t>melesawee@ejada.com</t>
  </si>
  <si>
    <t>MOHAMMED IBRAHIM MOHAMMED GHAZI</t>
  </si>
  <si>
    <t>mabdelmegid@ejada.com</t>
  </si>
  <si>
    <t>Hamed Mohamed Farag</t>
  </si>
  <si>
    <t>hmfarag@ejada.com</t>
  </si>
  <si>
    <t>Team Lead</t>
  </si>
  <si>
    <t>Mahmoud Ali Mohamed kamal</t>
  </si>
  <si>
    <t>mkamal@ejada.com</t>
  </si>
  <si>
    <t>Mahmoud Abdrabou</t>
  </si>
  <si>
    <t>mabdrabo@ejada.com</t>
  </si>
  <si>
    <t>Islam Sobhy Mohamed</t>
  </si>
  <si>
    <t>iahmed@ejada.com</t>
  </si>
  <si>
    <t>Nourhan AlSaud</t>
  </si>
  <si>
    <t>nalsaud@ejada.com</t>
  </si>
  <si>
    <t>Omar Ahmed Abd Al-Azeem</t>
  </si>
  <si>
    <t>oabdrabou@ejada.com</t>
  </si>
  <si>
    <t xml:space="preserve">Mahmoud Ahmed Ragabe </t>
  </si>
  <si>
    <t>maragabe@ejada.com</t>
  </si>
  <si>
    <t>Ahmed Alaa Shaker Elbadry</t>
  </si>
  <si>
    <t>aashaker@ejada.com</t>
  </si>
  <si>
    <t>Mohamed Mahmoud  Mohamed Hassan Radwan</t>
  </si>
  <si>
    <t>mradwan@ejada.com</t>
  </si>
  <si>
    <t>Functional / Senior Associate</t>
  </si>
  <si>
    <t>Reham Ibrahim mohamed Ibrahim Mohamed</t>
  </si>
  <si>
    <t>Development / Senior Team Lead</t>
  </si>
  <si>
    <t>ABDULLAH HUSSAIN T BO ZAID</t>
  </si>
  <si>
    <t xml:space="preserve">abozaid@ejada.com </t>
  </si>
  <si>
    <t xml:space="preserve">Development / Associate Software Engineer </t>
  </si>
  <si>
    <t>FATIMAH HUSSAIN A ALDAGDOUG</t>
  </si>
  <si>
    <t>faldagdoug@ejada.com</t>
  </si>
  <si>
    <t xml:space="preserve">Development / Software Engineer </t>
  </si>
  <si>
    <t xml:space="preserve">Ahmed Mohamed Ibrahim Saber </t>
  </si>
  <si>
    <t>amsaber@ejada.com</t>
  </si>
  <si>
    <t>TANWEER ZAKI</t>
  </si>
  <si>
    <t>tzaki@ejada.com</t>
  </si>
  <si>
    <t>Ahmed Ibrahim Ibrahim Abdelmotaleb Tortor</t>
  </si>
  <si>
    <t>atortor@ejada.com</t>
  </si>
  <si>
    <t>Functional / Senior Team Lead</t>
  </si>
  <si>
    <t xml:space="preserve">Ahmed Abdelaziz Ragab Sheta </t>
  </si>
  <si>
    <t>aaragab@ejada.com</t>
  </si>
  <si>
    <t>Technical / Senior Team Lead</t>
  </si>
  <si>
    <t>FATMEH WAGEEH MEIRZA AL SAIF</t>
  </si>
  <si>
    <t>falsaif@ejada.com</t>
  </si>
  <si>
    <t>SALEH ABDULLAH AL MAHROUS</t>
  </si>
  <si>
    <t>salmahrous@ejada.com</t>
  </si>
  <si>
    <t>HUSAIN ALI IBRAHIM ALSALEM</t>
  </si>
  <si>
    <t>halsalem@ejada.com</t>
  </si>
  <si>
    <t>Rami Rabea Mohamed Ali</t>
  </si>
  <si>
    <t>rali@ejada.com</t>
  </si>
  <si>
    <t>ELSAYED SALAHELDIN ABOUD MAHMOUD ELMAWY</t>
  </si>
  <si>
    <t>eelmawy@ejada.com</t>
  </si>
  <si>
    <t>Functional / Principal</t>
  </si>
  <si>
    <t>ABDULLAH MOHAMED MOHAMED HAMED</t>
  </si>
  <si>
    <t>ahamed@ejada.com</t>
  </si>
  <si>
    <t>Ahmed El Sharqawy</t>
  </si>
  <si>
    <t>aelsharkawy@ejada.com</t>
  </si>
  <si>
    <t>Yousef El Shabrawy</t>
  </si>
  <si>
    <t>Support Engineer</t>
  </si>
  <si>
    <t>Umair Saleh Muhammad</t>
  </si>
  <si>
    <t>Malak Madkour</t>
  </si>
  <si>
    <t>mmadkour@ejada.com</t>
  </si>
  <si>
    <t>Mohamed Mohsen</t>
  </si>
  <si>
    <t>mohamed.madboly@ejada.com</t>
  </si>
  <si>
    <t>Mostafa Khaled</t>
  </si>
  <si>
    <t>mostafa.zayed@ejada.com</t>
  </si>
  <si>
    <t>Fady Banoub</t>
  </si>
  <si>
    <t>fbanoub@ejada.com</t>
  </si>
  <si>
    <t>EPS</t>
  </si>
  <si>
    <t>Ahmed Farag</t>
  </si>
  <si>
    <t>ahmed.farag@ejada.com</t>
  </si>
  <si>
    <t xml:space="preserve">Developer </t>
  </si>
  <si>
    <t>Bassant Samer</t>
  </si>
  <si>
    <t>bbassant@ejada.com</t>
  </si>
  <si>
    <t>Kareem Ibrahim</t>
  </si>
  <si>
    <t>kibrahim@ejada.com</t>
  </si>
  <si>
    <t>Ahmed Morsy</t>
  </si>
  <si>
    <t>ahmed.morsy@ejada.com</t>
  </si>
  <si>
    <t>Norhan Ibrahim</t>
  </si>
  <si>
    <t>noibrahim@ejada.com</t>
  </si>
  <si>
    <t>Omar Gamal Fathi</t>
  </si>
  <si>
    <t>ogfathy@ejada.com</t>
  </si>
  <si>
    <t>Manar Elsayed </t>
  </si>
  <si>
    <t>Ramy moustafa</t>
  </si>
  <si>
    <t>mramy@ejada.com</t>
  </si>
  <si>
    <t>Eslam Khattab</t>
  </si>
  <si>
    <t>ekhattab@ejada.com</t>
  </si>
  <si>
    <t>sloution architect</t>
  </si>
  <si>
    <t>Haguar Dessouky</t>
  </si>
  <si>
    <t>hdessouky@ejada.com</t>
  </si>
  <si>
    <t>CRM Developer</t>
  </si>
  <si>
    <t>Omar Nour</t>
  </si>
  <si>
    <t>onour@ejada.com</t>
  </si>
  <si>
    <t>Nada Gaafar</t>
  </si>
  <si>
    <t>ngaafar@ejada.com</t>
  </si>
  <si>
    <t>Omar Amir Youssef</t>
  </si>
  <si>
    <t>oayoussef@ejada.com</t>
  </si>
  <si>
    <t>Mohamed Ghoz</t>
  </si>
  <si>
    <t>mghoz@ejada.com</t>
  </si>
  <si>
    <t>CRM Setup Admin</t>
  </si>
  <si>
    <t>Mishary Al Jarie</t>
  </si>
  <si>
    <t>maljarie@ejada.com</t>
  </si>
  <si>
    <t>Hossam Shaybon</t>
  </si>
  <si>
    <t> hshaybon@ejada.com</t>
  </si>
  <si>
    <t>Developer </t>
  </si>
  <si>
    <t>Ayman Sayed</t>
  </si>
  <si>
    <t>ayman.sayed@ejada.com</t>
  </si>
  <si>
    <t>BFSI Delivery Manager</t>
  </si>
  <si>
    <t>Ahmed Younis</t>
  </si>
  <si>
    <t>amyounis@ejada.com&gt;</t>
  </si>
  <si>
    <t>ashaheen@ejada.com</t>
  </si>
  <si>
    <t>Eyad Ahmed</t>
  </si>
  <si>
    <t>eyahmed@ejada.com</t>
  </si>
  <si>
    <t>Menna Allah Ali</t>
  </si>
  <si>
    <t>mennaallah@ejada.com</t>
  </si>
  <si>
    <t>Rana Jaber Abdul Samee ElSayed</t>
  </si>
  <si>
    <t>rjaber@ejada.com</t>
  </si>
  <si>
    <t>Mohamed Hassan</t>
  </si>
  <si>
    <t>mohhassan@ejada.com</t>
  </si>
  <si>
    <t>Amol Kodre</t>
  </si>
  <si>
    <t>Seikh Tanbir</t>
  </si>
  <si>
    <t>BA</t>
  </si>
  <si>
    <t>DEV</t>
  </si>
  <si>
    <t>Sarah Taher</t>
  </si>
  <si>
    <t>Karthik Selvam</t>
  </si>
  <si>
    <t>QA</t>
  </si>
  <si>
    <t>Yehia Ashraf Samir Azab</t>
  </si>
  <si>
    <t>yazab@ejada.com</t>
  </si>
  <si>
    <t xml:space="preserve">Mohamed Moussa Mabrouk Moussa </t>
  </si>
  <si>
    <t>mmabdullah@ejada.com</t>
  </si>
  <si>
    <t>Deepak kumar yadav</t>
  </si>
  <si>
    <t>dkumar@ejada.com</t>
  </si>
  <si>
    <t>Murad Alsammamre</t>
  </si>
  <si>
    <t>malsammamre@ejada.com</t>
  </si>
  <si>
    <t>Abdulaziz Albatshan</t>
  </si>
  <si>
    <t>aalbatshan@ejada.com</t>
  </si>
  <si>
    <t>Delivery Associate </t>
  </si>
  <si>
    <t xml:space="preserve">Mariam Mohsen Youssef </t>
  </si>
  <si>
    <t>msalah@ejada.com</t>
  </si>
  <si>
    <t>Meshary saad abdalaal</t>
  </si>
  <si>
    <t>mabdulaal@ejada.com</t>
  </si>
  <si>
    <t>Mohamed Saleh Almohamedi</t>
  </si>
  <si>
    <t>malmohamedi@ejada.com</t>
  </si>
  <si>
    <t>Mariam Tamer Abdelhadi</t>
  </si>
  <si>
    <t>mabdelhadi@ejada.com</t>
  </si>
  <si>
    <t>Hany Baabdullah</t>
  </si>
  <si>
    <t>hany.baabdullah@ejada.com</t>
  </si>
  <si>
    <t>Ziyad Alghamdi</t>
  </si>
  <si>
    <t>zalghamdi@ejada.com</t>
  </si>
  <si>
    <t>Yara Elmowafy</t>
  </si>
  <si>
    <t>yelmowafy@ejada.com</t>
  </si>
  <si>
    <t>Mahmoud Zithar</t>
  </si>
  <si>
    <t>m.zithar@ejada.com</t>
  </si>
  <si>
    <t>Asser Tamer Mohamed</t>
  </si>
  <si>
    <t>atmahmoud@ejada.com</t>
  </si>
  <si>
    <t>Yasmin Hossam Ismail</t>
  </si>
  <si>
    <t>yhelsay@ejada.com</t>
  </si>
  <si>
    <t>Maram Hossam Ahmed</t>
  </si>
  <si>
    <t>maramahmed@ejada.com</t>
  </si>
  <si>
    <t>EAS AI Adoption – Weekly Tracking Sheet – Customer Engagement Solutions</t>
  </si>
  <si>
    <t>EAS Overall AI SPOC:</t>
  </si>
  <si>
    <t>CES Practice Head:</t>
  </si>
  <si>
    <t>CES AI SPOC:</t>
  </si>
  <si>
    <t>Norah Al Wabel &amp; Ramy Moustafa Elshishtawy Elmor</t>
  </si>
  <si>
    <t>CRM</t>
  </si>
  <si>
    <t>Week #</t>
  </si>
  <si>
    <t>Week Start Date</t>
  </si>
  <si>
    <t>Week End Date</t>
  </si>
  <si>
    <t>Employee Name</t>
  </si>
  <si>
    <t>Task / Activity</t>
  </si>
  <si>
    <t>Prompt / Approach</t>
  </si>
  <si>
    <t>Efficiency Gain %</t>
  </si>
  <si>
    <t>Quality Rating (1-5)</t>
  </si>
  <si>
    <t>Notes / Learnings</t>
  </si>
  <si>
    <t>infath care</t>
  </si>
  <si>
    <t>Ramy Mustafa</t>
  </si>
  <si>
    <t>generate HLD including diagrams</t>
  </si>
  <si>
    <t>ChatGPT and eraser ai</t>
  </si>
  <si>
    <t>bog</t>
  </si>
  <si>
    <t xml:space="preserve">generate HLD including diagrams </t>
  </si>
  <si>
    <t xml:space="preserve">Documentation </t>
  </si>
  <si>
    <t>development</t>
  </si>
  <si>
    <t>In Progress</t>
  </si>
  <si>
    <t>22/2/2026</t>
  </si>
  <si>
    <t>26/2/2026</t>
  </si>
  <si>
    <t xml:space="preserve">UI design for CRM form </t>
  </si>
  <si>
    <t>Ask chatGPT to suggest for design based on customer requirements</t>
  </si>
  <si>
    <t>code review</t>
  </si>
  <si>
    <t>Ask copilot to fix bugs</t>
  </si>
  <si>
    <t>auctions module development</t>
  </si>
  <si>
    <t>Ask copilot to assist in model creation and mapping to CRM</t>
  </si>
  <si>
    <t xml:space="preserve">HTML and CSS web resources for UI design </t>
  </si>
  <si>
    <t>Ask copilot to assist in building CSS and HTML files</t>
  </si>
  <si>
    <t>CES – Weekly Aggregated Summary</t>
  </si>
  <si>
    <t>Metric</t>
  </si>
  <si>
    <t>Value</t>
  </si>
  <si>
    <t>Total Tasks Logged</t>
  </si>
  <si>
    <t>Total Time Without AI (hrs)</t>
  </si>
  <si>
    <t>Total Time With AI (hrs)</t>
  </si>
  <si>
    <t>Total Time Saved (hrs)</t>
  </si>
  <si>
    <t>Average Efficiency Gain %</t>
  </si>
  <si>
    <t>Average Quality Rating</t>
  </si>
  <si>
    <t>Tasks Completed</t>
  </si>
  <si>
    <t>Tasks In Progress</t>
  </si>
  <si>
    <t>EAS AI Adoption – Weekly Tracking Sheet – ERP Solutions</t>
  </si>
  <si>
    <t>ERP Practice Head:</t>
  </si>
  <si>
    <t>ERP AI SPOC:</t>
  </si>
  <si>
    <t>30/3/2026</t>
  </si>
  <si>
    <t>Nour Nafady</t>
  </si>
  <si>
    <t>Created an Oracle Fusion Cloud Applications ESS Job to trigger an integration and documented the end-to-end implementation steps.</t>
  </si>
  <si>
    <t>(Integration)Fusion Development &amp; Documentation</t>
  </si>
  <si>
    <t>Khaled Ossama</t>
  </si>
  <si>
    <t>REST API testing and validation for Oracle Fusion Cloud Procurement supplier management endpoints.</t>
  </si>
  <si>
    <t>Integration - Fusion API Exploration &amp; Validation</t>
  </si>
  <si>
    <t>Sama Abdullah Zakaria Abu El Naga</t>
  </si>
  <si>
    <t>Advanced DOR Customization – Dynamic Redwood UI Behavior (Auto-sync fields based on DOR ID)</t>
  </si>
  <si>
    <t>Visual Builder Oracle Fusion – Advanced Customization</t>
  </si>
  <si>
    <t>Implemented complex dynamic behavior where selecting a DOR ID triggers full UI field refresh and population using JavaScript, REST integration, variables, and reactive bindings; leveraged AI to overcome Redwood limitations, troubleshoot tricky logic, and accelerate solution design</t>
  </si>
  <si>
    <t>Mohamed Emad Ahmed</t>
  </si>
  <si>
    <t>Use a Field Change (fetchComponent / valueChangeHandler) on fields. Whenever either field changes, trigger a function that reads both values, runs the calculation, and writes the result back into</t>
  </si>
  <si>
    <t xml:space="preserve">You are a senior Oracle Visual Builder (VB) and JavaScript developer.
I have a DFF (Descriptive Flexfield) form in Oracle HCM Cloud.
Context:
Task: Write a valueChangeHandler function in the Oracle VB module pattern define([], () =&gt; { ... }) that:
Triggers when any of the input fields change
Reads the current value of all input fields from the parent path above
Applies the calculation rule to produce the output value
Writes the result back into the output field using its .$value(newValue) setter
Guards against missing, null, or invalid inputs — writes '' to the output field in those cases
Logs clearly to the console at each step using the tag [CONTEXT_NAME] for easy filtering
Follows the Oracle VB module pattern with JSDoc comment, clean indentation, and early-return guards
</t>
  </si>
  <si>
    <t>Oracle - RRM ERP Cloud Services Implementation 15/12/2025</t>
  </si>
  <si>
    <t>Haneen Alshamrani</t>
  </si>
  <si>
    <t xml:space="preserve">Created a report that accepts a year parameter and retrieves Purchase Orders (POs) within the specified year, supporting both Gregorian and Hijri calendars.  The report returns all required fields as defined in the Feedback table according to the Functional Design Document.
</t>
  </si>
  <si>
    <t>interation - report</t>
  </si>
  <si>
    <t>copilot - GPT - gemini</t>
  </si>
  <si>
    <t>ERP – Weekly Aggregated Summary</t>
  </si>
  <si>
    <t>EAS AI Adoption – Weekly Tracking Sheet – Financial Services Solutions (BFSI)</t>
  </si>
  <si>
    <t>BFSI Practice Head:</t>
  </si>
  <si>
    <t>BFSI AI SPOC:</t>
  </si>
  <si>
    <t>15/2/2026</t>
  </si>
  <si>
    <t>19/2/2026</t>
  </si>
  <si>
    <t xml:space="preserve">product catalog </t>
  </si>
  <si>
    <t>Project scope questionnaire</t>
  </si>
  <si>
    <t>HLD/FSD</t>
  </si>
  <si>
    <t>24/3/2026</t>
  </si>
  <si>
    <t>26/3/2026</t>
  </si>
  <si>
    <t>We used Copilot for identifying the steps and perquisites  for enabling HTTPS on WebLogic application server using .pfx certificates.</t>
  </si>
  <si>
    <t>29/3/2026</t>
  </si>
  <si>
    <t>Validating LLD sequence diagrams</t>
  </si>
  <si>
    <t xml:space="preserve">Claude was significantly helpful regarding the infinity Visualizer UI tool </t>
  </si>
  <si>
    <t>Code Review / Enhancements</t>
  </si>
  <si>
    <t xml:space="preserve">Claude </t>
  </si>
  <si>
    <t>ServiceNow</t>
  </si>
  <si>
    <t>Demand</t>
  </si>
  <si>
    <t xml:space="preserve">HLD </t>
  </si>
  <si>
    <t>CDF</t>
  </si>
  <si>
    <t>RFP</t>
  </si>
  <si>
    <t>UCDE</t>
  </si>
  <si>
    <t>-</t>
  </si>
  <si>
    <t>Experian Reverse engineering and FSD</t>
  </si>
  <si>
    <t>Gave Copilot multiple old documentation to format in a readible business way and KT doecumentation</t>
  </si>
  <si>
    <t>L3 tickets analysis (900+)</t>
  </si>
  <si>
    <t>extracted Jira raw data for all L3 and provided claude clear prompts to tailor and generate a report for ARB CIO and top managments as a defence for dev team</t>
  </si>
  <si>
    <t>BFSI – Weekly Aggregated Summary</t>
  </si>
  <si>
    <t>EAS AI Adoption – Weekly Tracking Sheet – Payments Solutions EPS</t>
  </si>
  <si>
    <t>EPS Practice Head:</t>
  </si>
  <si>
    <t>EPS AI SPOC:</t>
  </si>
  <si>
    <t>16-04-2026</t>
  </si>
  <si>
    <t>Providing Teams transcript to COPILOT prompt to generate MOM</t>
  </si>
  <si>
    <t>Need to conduct a meeting with transcript and send it from teams to coplito to generate MOM</t>
  </si>
  <si>
    <t>19-04-2026</t>
  </si>
  <si>
    <t>23-04-2026</t>
  </si>
  <si>
    <t>Provide Code / Script provided by the bank of their current system, provide it to the copilot prompt and get it in our solution language</t>
  </si>
  <si>
    <t>Having like JAVA script from the customer and try to analyze it</t>
  </si>
  <si>
    <t>Ask Copilot prompt to generate SWIFT MT / MX samples for different message types</t>
  </si>
  <si>
    <t>Asked the prompt to provide some samples of different types / different currencies / ...etc.</t>
  </si>
  <si>
    <t>Whatever provided seems to be fine, any tuning is being provided is taken into consieration</t>
  </si>
  <si>
    <t>Test Data Generation and Preparation</t>
  </si>
  <si>
    <t>User Story Enhancement for Tester Readability</t>
  </si>
  <si>
    <t>26-04-2026</t>
  </si>
  <si>
    <t>30-04-2026</t>
  </si>
  <si>
    <t>AI generates structured user guide content from scripts, process steps, and system descriptions, producing professional documentation drafts for review and refinement.</t>
  </si>
  <si>
    <t>EPS – Weekly Aggregated Summary</t>
  </si>
  <si>
    <t>EAS AI Adoption – Weekly Tracking Sheet – Enterprise Portfolio &amp; Content Solutions</t>
  </si>
  <si>
    <t>EPCS Practice Head:</t>
  </si>
  <si>
    <t>EPCS AI SPOC:</t>
  </si>
  <si>
    <t>configure certifcation for elastic search</t>
  </si>
  <si>
    <t>by Omar GamalEldeen</t>
  </si>
  <si>
    <t>add localization in Alfresco digital workspace</t>
  </si>
  <si>
    <t>Update scripts to run in different environments</t>
  </si>
  <si>
    <t>EPCS – Weekly Aggregated Summary</t>
  </si>
  <si>
    <t>Contract Number</t>
  </si>
  <si>
    <t>Customer Name</t>
  </si>
  <si>
    <t>Contract Value</t>
  </si>
  <si>
    <t>Contract Start Date</t>
  </si>
  <si>
    <t>Contract End Date</t>
  </si>
  <si>
    <t>Revenue Type</t>
  </si>
  <si>
    <t>Line Type</t>
  </si>
  <si>
    <t>KSA-25-0123</t>
  </si>
  <si>
    <t>Al Rajhi Bank</t>
  </si>
  <si>
    <t>Fixed Price</t>
  </si>
  <si>
    <t>Internal</t>
  </si>
  <si>
    <t>E1919 - Youssef Mohamed Yousef Salah (ymyoussef)</t>
  </si>
  <si>
    <t>KSA-25-0319</t>
  </si>
  <si>
    <t>Etihad GO Telecom Company</t>
  </si>
  <si>
    <t>Q1981 - Sarah Ali Mohamed El Mansoury (selmansoury)</t>
  </si>
  <si>
    <t>KSA-25-0797</t>
  </si>
  <si>
    <t>Remat Al-Riyadh</t>
  </si>
  <si>
    <t>A0038: Mohamed Abdul Aziz Khaleel</t>
  </si>
  <si>
    <t>ITSM</t>
  </si>
  <si>
    <t>TM</t>
  </si>
  <si>
    <t>External</t>
  </si>
  <si>
    <t>KSA-23-0238</t>
  </si>
  <si>
    <t>Ministry of Health</t>
  </si>
  <si>
    <t>31-12-2026</t>
  </si>
  <si>
    <t>S0013 - Simon Jiries Istefan Salameh (ssalameh)</t>
  </si>
  <si>
    <t>N/A</t>
  </si>
  <si>
    <t>KSA-25-0854</t>
  </si>
  <si>
    <t>Zakat, Tax and Customs Authority</t>
  </si>
  <si>
    <t>30-09-2027</t>
  </si>
  <si>
    <t>E0546 - Mohammed Mustafa Mohammed El Marasy (melmarasy)</t>
  </si>
  <si>
    <t>KSA-25-0718</t>
  </si>
  <si>
    <t>Tawtheeq Company for Registering Financial Lease Contracts</t>
  </si>
  <si>
    <t>30-11-2025</t>
  </si>
  <si>
    <t>E2048 - Salah Shahat Hassanin Elayat (selayat)</t>
  </si>
  <si>
    <t>KSA-25-0532</t>
  </si>
  <si>
    <t>Emkan Finance Company</t>
  </si>
  <si>
    <t>31-12-2025</t>
  </si>
  <si>
    <t>E3046 - Mohammad Abdul Muttalib Khan (akhan)</t>
  </si>
  <si>
    <t>KSA-25-0500</t>
  </si>
  <si>
    <t>20-10-2025</t>
  </si>
  <si>
    <t>31-05-2026</t>
  </si>
  <si>
    <t>Emkan Freelance</t>
  </si>
  <si>
    <t>KSA-25-0597</t>
  </si>
  <si>
    <t>E2994 - Ahmed  Ali Abdelaziz Ismail Khater (ahmed.khater)</t>
  </si>
  <si>
    <t>KSA-24-0094</t>
  </si>
  <si>
    <t>18-03-2024</t>
  </si>
  <si>
    <t>KSA-24-0317</t>
  </si>
  <si>
    <t>18-08-2024</t>
  </si>
  <si>
    <t>E2584 - Waleed Mohamed Amin Elsaid Abdelhamid Saleh (wsaleh)</t>
  </si>
  <si>
    <t>KSA-24-0447</t>
  </si>
  <si>
    <t>E1915 - Mohab Mahmoud Kamel Elhadad (melhadad)</t>
  </si>
  <si>
    <t>KSA-25-0675</t>
  </si>
  <si>
    <t>E1534 - Fathy Ahmed Shehata Khattab (fkhatab)</t>
  </si>
  <si>
    <t>15-02-2026</t>
  </si>
  <si>
    <t>KSA-24-0304</t>
  </si>
  <si>
    <t>Tourism Development Fund</t>
  </si>
  <si>
    <t>KSA-23-0116</t>
  </si>
  <si>
    <t>26-09-2023</t>
  </si>
  <si>
    <t>19-06-2025</t>
  </si>
  <si>
    <t>Payments Solutions</t>
  </si>
  <si>
    <t>ANB</t>
  </si>
  <si>
    <t>E2195 - HASEEB ULLAH KHAN</t>
  </si>
  <si>
    <t>E2195 - HASEEB ULLAH KHAN  </t>
  </si>
  <si>
    <t>EAS AI Adoption – Weekly Tracking Sheet – GRC</t>
  </si>
  <si>
    <t>GRC Practice Head:</t>
  </si>
  <si>
    <t>GRC AI SPOC:</t>
  </si>
  <si>
    <t>15/03/26</t>
  </si>
  <si>
    <t>19/03/26</t>
  </si>
  <si>
    <t>Resolving ORA-01555 Snapshot Too Old Error</t>
  </si>
  <si>
    <t>What is ORA-01555: snapshot too old?</t>
  </si>
  <si>
    <t>This ORA-01555 error means your long-running query needed older UNDO data, but Oracle had already overwritten it.</t>
  </si>
  <si>
    <t>22/03/26</t>
  </si>
  <si>
    <t>26/03/26</t>
  </si>
  <si>
    <t>SQL Query Optimization</t>
  </si>
  <si>
    <t>Giving the query and asking about the performance tunning techniques I can use.</t>
  </si>
  <si>
    <t>Converting Static MERGE PL/SQL to Dynamic MERGE PL/SQL</t>
  </si>
  <si>
    <t xml:space="preserve">Optimization techniques for the procedures </t>
  </si>
  <si>
    <t>SQL CASE to OR Condition Conversion</t>
  </si>
  <si>
    <t>Ask copilot to convert the query.</t>
  </si>
  <si>
    <t>Drop multiple partitions dynamically from a daliy partitioned table</t>
  </si>
  <si>
    <t>How to drop multiple partitions from a daily paritioned table in Oracle?</t>
  </si>
  <si>
    <t>GRC – Weekly Aggregated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</si>
</sst>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font>
      <sz val="11"/>
      <color theme="1"/>
      <name val="Calibri"/>
      <family val="2"/>
      <scheme val="minor"/>
    </font>
    <font>
      <b/>
      <sz val="11"/>
      <color rgb="FFFFFFFF"/>
      <name val="Calibri"/>
      <family val="2"/>
    </font>
    <font>
      <sz val="10"/>
      <name val="Calibri"/>
      <family val="2"/>
    </font>
    <font>
      <b/>
      <sz val="14"/>
      <color rgb="FF1B2A4A"/>
      <name val="Calibri"/>
      <family val="2"/>
    </font>
    <font>
      <b/>
      <sz val="11"/>
      <color rgb="FF1B2A4A"/>
      <name val="Calibri"/>
      <family val="2"/>
    </font>
    <font>
      <b/>
      <sz val="12"/>
      <color rgb="FFFFFFFF"/>
      <name val="Calibri"/>
      <family val="2"/>
    </font>
    <font>
      <b/>
      <sz val="10"/>
      <name val="Calibri"/>
      <family val="2"/>
    </font>
    <font>
      <b/>
      <sz val="16"/>
      <color rgb="FF1B2A4A"/>
      <name val="Calibri"/>
      <family val="2"/>
    </font>
    <font>
      <b/>
      <sz val="12"/>
      <color rgb="FF1B2A4A"/>
      <name val="Calibri"/>
      <family val="2"/>
    </font>
    <font>
      <b/>
      <sz val="11"/>
      <color theme="1"/>
      <name val="Calibri"/>
      <family val="2"/>
      <scheme val="minor"/>
    </font>
    <font>
      <u/>
      <sz val="11"/>
      <color theme="10"/>
      <name val="Calibri"/>
      <family val="2"/>
      <scheme val="minor"/>
    </font>
    <font>
      <sz val="8"/>
      <name val="Calibri"/>
      <family val="2"/>
      <scheme val="minor"/>
    </font>
    <font>
      <i/>
      <sz val="10"/>
      <color rgb="FF555555"/>
      <name val="Calibri"/>
      <family val="2"/>
    </font>
    <font>
      <sz val="11"/>
      <color rgb="FF000000"/>
      <name val="Calibri"/>
      <family val="2"/>
      <scheme val="minor"/>
    </font>
    <font>
      <sz val="10"/>
      <name val="Calibri"/>
    </font>
    <font>
      <sz val="10"/>
      <color rgb="FF000000"/>
      <name val="Calibri"/>
      <charset val="1"/>
    </font>
    <font>
      <sz val="11"/>
      <color rgb="FF000000"/>
      <name val="Aptos"/>
      <family val="2"/>
    </font>
    <font>
      <sz val="11"/>
      <color rgb="FF242424"/>
      <name val="Aptos Narrow"/>
      <charset val="1"/>
    </font>
    <font>
      <sz val="11"/>
      <color rgb="FF000000"/>
      <name val="Calibri"/>
      <charset val="1"/>
    </font>
  </fonts>
  <fills count="12">
    <fill>
      <patternFill patternType="none"/>
    </fill>
    <fill>
      <patternFill patternType="gray125"/>
    </fill>
    <fill>
      <patternFill patternType="solid">
        <fgColor rgb="FF1B2A4A"/>
      </patternFill>
    </fill>
    <fill>
      <patternFill patternType="solid">
        <fgColor rgb="FF2E75B6"/>
      </patternFill>
    </fill>
    <fill>
      <patternFill patternType="solid">
        <fgColor rgb="FFF2F7FB"/>
      </patternFill>
    </fill>
    <fill>
      <patternFill patternType="solid">
        <fgColor rgb="FFFFFFFF"/>
      </patternFill>
    </fill>
    <fill>
      <patternFill patternType="solid">
        <fgColor rgb="FFE8E8E8"/>
      </patternFill>
    </fill>
    <fill>
      <patternFill patternType="solid">
        <fgColor rgb="FFD6E4F0"/>
      </patternFill>
    </fill>
    <fill>
      <patternFill patternType="solid">
        <fgColor rgb="FFFFFFFF"/>
        <bgColor rgb="FF000000"/>
      </patternFill>
    </fill>
    <fill>
      <patternFill patternType="solid">
        <fgColor rgb="FFFFFFFF"/>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rgb="FFB4C6E7"/>
      </left>
      <right style="thin">
        <color rgb="FFB4C6E7"/>
      </right>
      <top style="thin">
        <color rgb="FFB4C6E7"/>
      </top>
      <bottom style="thin">
        <color rgb="FFB4C6E7"/>
      </bottom>
      <diagonal/>
    </border>
    <border>
      <left/>
      <right/>
      <top/>
      <bottom style="thin">
        <color rgb="FFB4C6E7"/>
      </bottom>
      <diagonal/>
    </border>
    <border>
      <left/>
      <right style="thin">
        <color rgb="FFB4C6E7"/>
      </right>
      <top style="thin">
        <color rgb="FFB4C6E7"/>
      </top>
      <bottom style="thin">
        <color rgb="FFB4C6E7"/>
      </bottom>
      <diagonal/>
    </border>
    <border>
      <left/>
      <right/>
      <top style="thin">
        <color theme="8" tint="0.39997558519241921"/>
      </top>
      <bottom style="medium">
        <color rgb="FF8EA9DB"/>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3">
    <xf numFmtId="0" fontId="0" fillId="0" borderId="0"/>
    <xf numFmtId="0" fontId="10" fillId="0" borderId="0" applyNumberFormat="0" applyFill="0" applyBorder="0" applyAlignment="0" applyProtection="0"/>
    <xf numFmtId="0" fontId="10" fillId="0" borderId="0"/>
  </cellStyleXfs>
  <cellXfs count="75">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9" fontId="2" fillId="5" borderId="1" xfId="0" applyNumberFormat="1" applyFont="1" applyFill="1" applyBorder="1" applyAlignment="1">
      <alignment horizontal="center" vertical="center" wrapText="1"/>
    </xf>
    <xf numFmtId="164" fontId="2" fillId="5" borderId="1" xfId="0" applyNumberFormat="1" applyFont="1" applyFill="1" applyBorder="1" applyAlignment="1">
      <alignment horizontal="center" vertical="center" wrapText="1"/>
    </xf>
    <xf numFmtId="0" fontId="0" fillId="2" borderId="1" xfId="0" applyFill="1" applyBorder="1"/>
    <xf numFmtId="0" fontId="6" fillId="7" borderId="1" xfId="0"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xf numFmtId="0" fontId="2" fillId="6" borderId="1" xfId="0"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2" fontId="2" fillId="5"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9"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4" fontId="0" fillId="0" borderId="0" xfId="0" applyNumberFormat="1"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4" borderId="1" xfId="0" applyFont="1" applyFill="1" applyBorder="1" applyAlignment="1">
      <alignment horizontal="left" vertical="center" wrapText="1"/>
    </xf>
    <xf numFmtId="0" fontId="13" fillId="0" borderId="0" xfId="0" applyFont="1"/>
    <xf numFmtId="0" fontId="13" fillId="0" borderId="0" xfId="0" applyFont="1" applyAlignment="1">
      <alignment wrapText="1"/>
    </xf>
    <xf numFmtId="14" fontId="2" fillId="4"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4" fontId="2" fillId="8" borderId="3" xfId="0" applyNumberFormat="1" applyFont="1" applyFill="1" applyBorder="1" applyAlignment="1">
      <alignment horizontal="center" vertical="center" wrapText="1"/>
    </xf>
    <xf numFmtId="0" fontId="2" fillId="8" borderId="3" xfId="0" applyFont="1" applyFill="1" applyBorder="1" applyAlignment="1">
      <alignment horizontal="center" vertical="center" wrapText="1"/>
    </xf>
    <xf numFmtId="0" fontId="10" fillId="8" borderId="3" xfId="1" applyFill="1" applyBorder="1" applyAlignment="1">
      <alignment horizontal="center" vertical="center" wrapText="1"/>
    </xf>
    <xf numFmtId="0" fontId="14" fillId="8" borderId="3"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10" fillId="5" borderId="1" xfId="1" applyFill="1" applyBorder="1" applyAlignment="1">
      <alignment horizontal="center" vertical="center" wrapText="1"/>
    </xf>
    <xf numFmtId="0" fontId="2" fillId="5" borderId="1" xfId="0" applyFont="1" applyFill="1" applyBorder="1" applyAlignment="1">
      <alignment horizontal="left" vertical="center" wrapText="1"/>
    </xf>
    <xf numFmtId="0" fontId="15" fillId="0" borderId="0" xfId="0" applyFont="1"/>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16" fillId="9" borderId="4" xfId="0" applyFont="1" applyFill="1" applyBorder="1" applyAlignment="1">
      <alignment horizontal="left" vertical="center" wrapText="1"/>
    </xf>
    <xf numFmtId="0" fontId="0" fillId="0" borderId="0" xfId="0" applyAlignment="1">
      <alignment horizontal="center" vertical="center"/>
    </xf>
    <xf numFmtId="0" fontId="10" fillId="0" borderId="0" xfId="1"/>
    <xf numFmtId="0" fontId="17" fillId="0" borderId="0" xfId="0" applyFont="1"/>
    <xf numFmtId="0" fontId="17" fillId="0" borderId="0" xfId="0" applyFont="1" applyAlignment="1">
      <alignment horizontal="center" vertical="center"/>
    </xf>
    <xf numFmtId="0" fontId="14"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14" fontId="14" fillId="4" borderId="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14" fontId="14" fillId="5" borderId="1" xfId="0" applyNumberFormat="1" applyFont="1" applyFill="1" applyBorder="1" applyAlignment="1">
      <alignment horizontal="center" vertical="center" wrapText="1"/>
    </xf>
    <xf numFmtId="0" fontId="18" fillId="0" borderId="0" xfId="0" applyFont="1" applyAlignment="1">
      <alignment horizontal="center" vertical="top" wrapText="1"/>
    </xf>
    <xf numFmtId="0" fontId="18" fillId="0" borderId="0" xfId="0" applyFont="1"/>
    <xf numFmtId="0" fontId="15" fillId="0" borderId="0" xfId="0" applyFont="1" applyAlignment="1">
      <alignment horizontal="center" vertical="center"/>
    </xf>
    <xf numFmtId="14" fontId="2" fillId="5" borderId="1" xfId="0" applyNumberFormat="1" applyFont="1" applyFill="1" applyBorder="1" applyAlignment="1">
      <alignment horizontal="center" vertical="center" wrapText="1"/>
    </xf>
    <xf numFmtId="0" fontId="0" fillId="10" borderId="5" xfId="0" applyFill="1" applyBorder="1"/>
    <xf numFmtId="0" fontId="0" fillId="10" borderId="6" xfId="0" applyFill="1" applyBorder="1"/>
    <xf numFmtId="0" fontId="0" fillId="11" borderId="5" xfId="0" applyFill="1" applyBorder="1"/>
    <xf numFmtId="0" fontId="10" fillId="11" borderId="5" xfId="1" applyFill="1" applyBorder="1"/>
    <xf numFmtId="0" fontId="10" fillId="10" borderId="7" xfId="1" applyFill="1" applyBorder="1"/>
    <xf numFmtId="0" fontId="8" fillId="0" borderId="0" xfId="0" applyFont="1" applyAlignment="1">
      <alignment horizontal="center" vertical="center" wrapText="1"/>
    </xf>
    <xf numFmtId="0" fontId="7" fillId="0" borderId="0" xfId="0" applyFont="1" applyAlignment="1">
      <alignment horizontal="center" vertical="center"/>
    </xf>
    <xf numFmtId="0" fontId="4" fillId="0" borderId="0" xfId="0" applyFont="1" applyAlignment="1">
      <alignment horizontal="center" vertical="center"/>
    </xf>
    <xf numFmtId="0" fontId="5" fillId="3" borderId="2" xfId="0" applyFont="1" applyFill="1" applyBorder="1" applyAlignment="1">
      <alignment horizontal="center" vertical="center" wrapText="1"/>
    </xf>
    <xf numFmtId="0" fontId="3" fillId="0" borderId="0" xfId="0" applyFont="1" applyAlignment="1">
      <alignment horizontal="center" vertical="center"/>
    </xf>
    <xf numFmtId="0" fontId="12" fillId="0" borderId="0" xfId="0" applyFont="1" applyAlignment="1">
      <alignment horizontal="center" vertical="center"/>
    </xf>
    <xf numFmtId="0" fontId="1" fillId="3" borderId="1" xfId="0" applyFont="1" applyFill="1" applyBorder="1" applyAlignment="1">
      <alignment horizontal="center" vertical="center" wrapText="1"/>
    </xf>
    <xf numFmtId="0" fontId="4" fillId="0" borderId="0" xfId="0" applyFont="1" applyAlignment="1">
      <alignment horizontal="left" vertical="center" wrapText="1"/>
    </xf>
    <xf numFmtId="0" fontId="5" fillId="3" borderId="0" xfId="0" applyFont="1" applyFill="1" applyAlignment="1">
      <alignment horizontal="center" vertical="center" wrapText="1"/>
    </xf>
    <xf numFmtId="0" fontId="0" fillId="0" borderId="0" xfId="0" applyAlignment="1"/>
    <xf numFmtId="0" fontId="0" fillId="3" borderId="1" xfId="0" applyFill="1" applyBorder="1" applyAlignment="1"/>
    <xf numFmtId="0" fontId="2" fillId="0" borderId="0" xfId="0" applyFont="1" applyAlignment="1"/>
  </cellXfs>
  <cellStyles count="3">
    <cellStyle name="Hyperlink" xfId="1" xr:uid="{00000000-000B-0000-0000-000008000000}"/>
    <cellStyle name="Hyperlink 2" xfId="2" xr:uid="{AD8B7E52-6E80-4492-BE67-0D57DE1B3F19}"/>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color rgb="FF9C0006"/>
      </font>
      <fill>
        <patternFill>
          <bgColor rgb="FFFFC7CE"/>
        </patternFill>
      </fill>
    </dxf>
  </dxfs>
  <tableStyles count="1" defaultTableStyle="TableStyleMedium9" defaultPivotStyle="PivotStyleLight16">
    <tableStyle name="Invisible" pivot="0" table="0" count="0" xr9:uid="{53A2CF29-4B13-4924-8B61-7B769FBE3C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Total Time Saved per Practice (hrs)</a:t>
            </a:r>
          </a:p>
        </c:rich>
      </c:tx>
      <c:overlay val="1"/>
    </c:title>
    <c:autoTitleDeleted val="0"/>
    <c:plotArea>
      <c:layout/>
      <c:barChart>
        <c:barDir val="col"/>
        <c:grouping val="clustered"/>
        <c:varyColors val="1"/>
        <c:ser>
          <c:idx val="0"/>
          <c:order val="0"/>
          <c:tx>
            <c:strRef>
              <c:f>Summary!$G$5</c:f>
              <c:strCache>
                <c:ptCount val="1"/>
                <c:pt idx="0">
                  <c:v>Time Saved (hrs)</c:v>
                </c:pt>
              </c:strCache>
            </c:strRef>
          </c:tx>
          <c:spPr>
            <a:ln>
              <a:prstDash val="solid"/>
            </a:ln>
          </c:spPr>
          <c:invertIfNegative val="1"/>
          <c:cat>
            <c:strRef>
              <c:f>Summary!$A$6:$A$11</c:f>
              <c:strCache>
                <c:ptCount val="6"/>
                <c:pt idx="0">
                  <c:v>ERP Solutions</c:v>
                </c:pt>
                <c:pt idx="1">
                  <c:v>Customer Engagement Solutions</c:v>
                </c:pt>
                <c:pt idx="2">
                  <c:v>Financial Services Solutions (BFSI)</c:v>
                </c:pt>
                <c:pt idx="3">
                  <c:v>Payments Solutions EPS</c:v>
                </c:pt>
                <c:pt idx="4">
                  <c:v>GRC</c:v>
                </c:pt>
                <c:pt idx="5">
                  <c:v>Enterprise Portfolio &amp; Content Solutions</c:v>
                </c:pt>
              </c:strCache>
            </c:strRef>
          </c:cat>
          <c:val>
            <c:numRef>
              <c:f>Summary!$G$6:$G$11</c:f>
              <c:numCache>
                <c:formatCode>General</c:formatCode>
                <c:ptCount val="6"/>
                <c:pt idx="0">
                  <c:v>84</c:v>
                </c:pt>
                <c:pt idx="1">
                  <c:v>111.5</c:v>
                </c:pt>
                <c:pt idx="2">
                  <c:v>87.65</c:v>
                </c:pt>
                <c:pt idx="3">
                  <c:v>0.49</c:v>
                </c:pt>
                <c:pt idx="4">
                  <c:v>24.75</c:v>
                </c:pt>
                <c:pt idx="5">
                  <c:v>0</c:v>
                </c:pt>
              </c:numCache>
            </c:numRef>
          </c:val>
          <c:extLst>
            <c:ext xmlns:c16="http://schemas.microsoft.com/office/drawing/2014/chart" uri="{C3380CC4-5D6E-409C-BE32-E72D297353CC}">
              <c16:uniqueId val="{00000000-0930-456C-ABDB-52F2F0B909D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Practice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Hours Saved</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Average Efficiency Gain % per Practice</a:t>
            </a:r>
          </a:p>
        </c:rich>
      </c:tx>
      <c:layout>
        <c:manualLayout>
          <c:xMode val="edge"/>
          <c:yMode val="edge"/>
          <c:x val="0.3753091153770986"/>
          <c:y val="4.2837320812164792E-2"/>
        </c:manualLayout>
      </c:layout>
      <c:overlay val="1"/>
    </c:title>
    <c:autoTitleDeleted val="0"/>
    <c:plotArea>
      <c:layout/>
      <c:barChart>
        <c:barDir val="col"/>
        <c:grouping val="clustered"/>
        <c:varyColors val="1"/>
        <c:ser>
          <c:idx val="0"/>
          <c:order val="0"/>
          <c:tx>
            <c:strRef>
              <c:f>Summary!$H$5</c:f>
              <c:strCache>
                <c:ptCount val="1"/>
                <c:pt idx="0">
                  <c:v>Avg Efficiency %</c:v>
                </c:pt>
              </c:strCache>
            </c:strRef>
          </c:tx>
          <c:spPr>
            <a:ln>
              <a:prstDash val="solid"/>
            </a:ln>
          </c:spPr>
          <c:invertIfNegative val="1"/>
          <c:cat>
            <c:strRef>
              <c:f>Summary!$A$6:$A$11</c:f>
              <c:strCache>
                <c:ptCount val="6"/>
                <c:pt idx="0">
                  <c:v>ERP Solutions</c:v>
                </c:pt>
                <c:pt idx="1">
                  <c:v>Customer Engagement Solutions</c:v>
                </c:pt>
                <c:pt idx="2">
                  <c:v>Financial Services Solutions (BFSI)</c:v>
                </c:pt>
                <c:pt idx="3">
                  <c:v>Payments Solutions EPS</c:v>
                </c:pt>
                <c:pt idx="4">
                  <c:v>GRC</c:v>
                </c:pt>
                <c:pt idx="5">
                  <c:v>Enterprise Portfolio &amp; Content Solutions</c:v>
                </c:pt>
              </c:strCache>
            </c:strRef>
          </c:cat>
          <c:val>
            <c:numRef>
              <c:f>Summary!$H$6:$H$11</c:f>
              <c:numCache>
                <c:formatCode>0%</c:formatCode>
                <c:ptCount val="6"/>
                <c:pt idx="0">
                  <c:v>0.53333333333333333</c:v>
                </c:pt>
                <c:pt idx="1">
                  <c:v>0.60037878787878796</c:v>
                </c:pt>
                <c:pt idx="2">
                  <c:v>0.50894909688013146</c:v>
                </c:pt>
                <c:pt idx="3">
                  <c:v>0.98</c:v>
                </c:pt>
                <c:pt idx="4">
                  <c:v>0.84722222222222221</c:v>
                </c:pt>
                <c:pt idx="5">
                  <c:v>0</c:v>
                </c:pt>
              </c:numCache>
            </c:numRef>
          </c:val>
          <c:extLst>
            <c:ext xmlns:c16="http://schemas.microsoft.com/office/drawing/2014/chart" uri="{C3380CC4-5D6E-409C-BE32-E72D297353CC}">
              <c16:uniqueId val="{00000000-468D-48D0-8B28-463356A1627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Practice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Efficiency %</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15</xdr:row>
      <xdr:rowOff>0</xdr:rowOff>
    </xdr:from>
    <xdr:ext cx="7920000" cy="50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38100</xdr:colOff>
      <xdr:row>43</xdr:row>
      <xdr:rowOff>85725</xdr:rowOff>
    </xdr:from>
    <xdr:ext cx="7920000" cy="5040000"/>
    <xdr:graphicFrame macro="">
      <xdr:nvGraphicFramePr>
        <xdr:cNvPr id="3" name="Chart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IM_View" id="{4981D94E-9EDD-4AED-820A-2D41BB65C3D7}">
    <nsvFilter filterId="{C22972E3-FE77-48F9-9E18-8A72540E9BEB}" ref="A1:F176" tableId="3"/>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2972E3-FE77-48F9-9E18-8A72540E9BEB}" name="Table3" displayName="Table3" ref="A1:F176" totalsRowShown="0">
  <autoFilter ref="A1:F176" xr:uid="{C22972E3-FE77-48F9-9E18-8A72540E9BEB}"/>
  <tableColumns count="6">
    <tableColumn id="1" xr3:uid="{16AABF3B-600B-4605-B414-C9AA8CCD595D}" name="Pracitce"/>
    <tableColumn id="2" xr3:uid="{8B8938F2-1E9D-4605-9D9B-0928A2A8CB63}" name="Resource Name"/>
    <tableColumn id="3" xr3:uid="{0E0D1C2A-0E3D-4493-A887-D351FCB58872}" name="Resource Emaid ID"/>
    <tableColumn id="4" xr3:uid="{50A91C53-AA40-4BF9-B4CB-BAE8B6C742CB}" name="Skill"/>
    <tableColumn id="5" xr3:uid="{A2AA0724-8D83-452B-947A-451BCB391E0E}" name="Remarks"/>
    <tableColumn id="6" xr3:uid="{F7424946-62A8-4AF6-A50E-3CD9DC192714}" name="Business li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B6419-3947-4A97-AAF4-F5EBE6335238}" name="Table1" displayName="Table1" ref="A1:K23" totalsRowShown="0" headerRowDxfId="12" dataDxfId="11">
  <autoFilter ref="A1:K23" xr:uid="{CE9B6419-3947-4A97-AAF4-F5EBE6335238}">
    <filterColumn colId="0">
      <filters>
        <filter val="Payments Solutions"/>
      </filters>
    </filterColumn>
  </autoFilter>
  <tableColumns count="11">
    <tableColumn id="1" xr3:uid="{19C84088-8012-42CB-A6BE-DBE29C5C68F5}" name="Practice" dataDxfId="10"/>
    <tableColumn id="2" xr3:uid="{57E3FF98-9FAF-41C2-90EF-FC788C940FA0}" name="Project Code" dataDxfId="9"/>
    <tableColumn id="3" xr3:uid="{8D9B6125-819F-4C8F-9A3D-6D976147D299}" name="Contract Number" dataDxfId="8"/>
    <tableColumn id="4" xr3:uid="{C8CEDDE0-11F6-4A14-99E7-2A90A81030B5}" name="Customer Name" dataDxfId="7"/>
    <tableColumn id="5" xr3:uid="{B1EEE271-06E3-46BC-A14F-A4373C1B327B}" name="Contract Value" dataDxfId="6"/>
    <tableColumn id="6" xr3:uid="{F3328275-5D7A-42F4-9510-08FD04980510}" name="Contract Start Date" dataDxfId="5"/>
    <tableColumn id="7" xr3:uid="{167FB1A5-3F18-41A5-B1C7-850542A916C4}" name="Contract End Date" dataDxfId="4"/>
    <tableColumn id="8" xr3:uid="{F6839118-11FD-4F6E-B1A3-C235987B5B3F}" name="Project Name" dataDxfId="3"/>
    <tableColumn id="9" xr3:uid="{B30BE583-A4D7-4FF0-95A1-5A68C50800BB}" name="Revenue Type" dataDxfId="2"/>
    <tableColumn id="10" xr3:uid="{FCE2ED44-F732-4B3E-9328-145CDB51B7C0}" name="Line Type" dataDxfId="1"/>
    <tableColumn id="11" xr3:uid="{751BE63F-9FA7-4DDC-B717-D7E3E8BFAAED}" name="Project Manag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github.com/ejadasa-copilot-business/alfresco-digital-workspace" TargetMode="External"/><Relationship Id="rId1" Type="http://schemas.openxmlformats.org/officeDocument/2006/relationships/hyperlink" Target="https://ejadasharepoint-my.sharepoint.com/:v:/g/personal/eyahmed_ejada_com/IQASFVa1RbxAR4rMgfBxLmlwAZXzdvMQeMVxIJVvquQB8jM?nav=eyJyZWZlcnJhbEluZm8iOnsicmVmZXJyYWxBcHAiOiJTdHJlYW1XZWJBcHAiLCJyZWZlcnJhbFZpZXciOiJTaGFyZURpYWxvZy1MaW5rIiwicmVmZXJyYWxBcHBQbGF0Zm9ybSI6IldlYiIsInJlZmVycmFsTW9kZSI6InZpZXcifX0%3D&amp;e=FUypQJ"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amyounis@ejada.com" TargetMode="External"/><Relationship Id="rId21" Type="http://schemas.openxmlformats.org/officeDocument/2006/relationships/hyperlink" Target="mailto:amkhalil@ejada.com" TargetMode="External"/><Relationship Id="rId42" Type="http://schemas.openxmlformats.org/officeDocument/2006/relationships/hyperlink" Target="mailto:izayed@ejada.com" TargetMode="External"/><Relationship Id="rId63" Type="http://schemas.openxmlformats.org/officeDocument/2006/relationships/hyperlink" Target="mailto:hossam.wally@ejada.com" TargetMode="External"/><Relationship Id="rId84" Type="http://schemas.openxmlformats.org/officeDocument/2006/relationships/hyperlink" Target="mailto:oabdelhameed@ejada.com" TargetMode="External"/><Relationship Id="rId16" Type="http://schemas.openxmlformats.org/officeDocument/2006/relationships/hyperlink" Target="mailto:anady@ejada.com" TargetMode="External"/><Relationship Id="rId107" Type="http://schemas.openxmlformats.org/officeDocument/2006/relationships/hyperlink" Target="mailto:oayoussef@ejada.com" TargetMode="External"/><Relationship Id="rId11" Type="http://schemas.openxmlformats.org/officeDocument/2006/relationships/hyperlink" Target="mailto:yelshayeb@ejada.com" TargetMode="External"/><Relationship Id="rId32" Type="http://schemas.openxmlformats.org/officeDocument/2006/relationships/hyperlink" Target="mailto:oyehia@ejada.com" TargetMode="External"/><Relationship Id="rId37" Type="http://schemas.openxmlformats.org/officeDocument/2006/relationships/hyperlink" Target="mailto:mselazaly@ejada.com" TargetMode="External"/><Relationship Id="rId53" Type="http://schemas.openxmlformats.org/officeDocument/2006/relationships/hyperlink" Target="mailto:ametwally@ejada.com" TargetMode="External"/><Relationship Id="rId58" Type="http://schemas.openxmlformats.org/officeDocument/2006/relationships/hyperlink" Target="mailto:osalem@ejada.com" TargetMode="External"/><Relationship Id="rId74" Type="http://schemas.openxmlformats.org/officeDocument/2006/relationships/hyperlink" Target="mailto:hmohammed@ejada.com" TargetMode="External"/><Relationship Id="rId79" Type="http://schemas.openxmlformats.org/officeDocument/2006/relationships/hyperlink" Target="mailto:rmelshafie@ejada.com" TargetMode="External"/><Relationship Id="rId102" Type="http://schemas.openxmlformats.org/officeDocument/2006/relationships/hyperlink" Target="mailto:mramy@ejada.com" TargetMode="External"/><Relationship Id="rId123" Type="http://schemas.openxmlformats.org/officeDocument/2006/relationships/hyperlink" Target="mailto:msalah@ejada.com" TargetMode="External"/><Relationship Id="rId128" Type="http://schemas.openxmlformats.org/officeDocument/2006/relationships/hyperlink" Target="mailto:hany.baabdullah@ejada.com" TargetMode="External"/><Relationship Id="rId5" Type="http://schemas.openxmlformats.org/officeDocument/2006/relationships/hyperlink" Target="mailto:gbakry@ejada.com" TargetMode="External"/><Relationship Id="rId90" Type="http://schemas.openxmlformats.org/officeDocument/2006/relationships/hyperlink" Target="mailto:usaleh@ejada.com" TargetMode="External"/><Relationship Id="rId95" Type="http://schemas.openxmlformats.org/officeDocument/2006/relationships/hyperlink" Target="mailto:ahmed.farag@ejada.com" TargetMode="External"/><Relationship Id="rId22" Type="http://schemas.openxmlformats.org/officeDocument/2006/relationships/hyperlink" Target="mailto:maalharbi@ejada.com" TargetMode="External"/><Relationship Id="rId27" Type="http://schemas.openxmlformats.org/officeDocument/2006/relationships/hyperlink" Target="mailto:aibrahim@ejada.com" TargetMode="External"/><Relationship Id="rId43" Type="http://schemas.openxmlformats.org/officeDocument/2006/relationships/hyperlink" Target="mailto:doaa.mostafa@ejada.com" TargetMode="External"/><Relationship Id="rId48" Type="http://schemas.openxmlformats.org/officeDocument/2006/relationships/hyperlink" Target="mailto:ranad.alshehri@ejada.com" TargetMode="External"/><Relationship Id="rId64" Type="http://schemas.openxmlformats.org/officeDocument/2006/relationships/hyperlink" Target="mailto:shaimaa.abdallah@ejada.com" TargetMode="External"/><Relationship Id="rId69" Type="http://schemas.openxmlformats.org/officeDocument/2006/relationships/hyperlink" Target="mailto:aalthuwaybi@ejada.com" TargetMode="External"/><Relationship Id="rId113" Type="http://schemas.openxmlformats.org/officeDocument/2006/relationships/hyperlink" Target="mailto:eyahmed@ejada.com" TargetMode="External"/><Relationship Id="rId118" Type="http://schemas.openxmlformats.org/officeDocument/2006/relationships/hyperlink" Target="mailto:yazab@ejada.com" TargetMode="External"/><Relationship Id="rId134" Type="http://schemas.openxmlformats.org/officeDocument/2006/relationships/table" Target="../tables/table1.xml"/><Relationship Id="rId80" Type="http://schemas.openxmlformats.org/officeDocument/2006/relationships/hyperlink" Target="mailto:memara@ejada.com" TargetMode="External"/><Relationship Id="rId85" Type="http://schemas.openxmlformats.org/officeDocument/2006/relationships/hyperlink" Target="mailto:aabdelhamid@ejada.com" TargetMode="External"/><Relationship Id="rId12" Type="http://schemas.openxmlformats.org/officeDocument/2006/relationships/hyperlink" Target="mailto:ralsealo@ejada.com" TargetMode="External"/><Relationship Id="rId17" Type="http://schemas.openxmlformats.org/officeDocument/2006/relationships/hyperlink" Target="mailto:aelsahlamy@ejada.com" TargetMode="External"/><Relationship Id="rId33" Type="http://schemas.openxmlformats.org/officeDocument/2006/relationships/hyperlink" Target="mailto:sgharib@ejada.com" TargetMode="External"/><Relationship Id="rId38" Type="http://schemas.openxmlformats.org/officeDocument/2006/relationships/hyperlink" Target="mailto:memansour@ejada.com" TargetMode="External"/><Relationship Id="rId59" Type="http://schemas.openxmlformats.org/officeDocument/2006/relationships/hyperlink" Target="mailto:melsaka@ejada.com" TargetMode="External"/><Relationship Id="rId103" Type="http://schemas.openxmlformats.org/officeDocument/2006/relationships/hyperlink" Target="mailto:ekhattab@ejada.com" TargetMode="External"/><Relationship Id="rId108" Type="http://schemas.openxmlformats.org/officeDocument/2006/relationships/hyperlink" Target="mailto:mghoz@ejada.com" TargetMode="External"/><Relationship Id="rId124" Type="http://schemas.openxmlformats.org/officeDocument/2006/relationships/hyperlink" Target="mailto:mabdulaal@ejada.com" TargetMode="External"/><Relationship Id="rId129" Type="http://schemas.openxmlformats.org/officeDocument/2006/relationships/hyperlink" Target="mailto:m.zithar@ejada.com" TargetMode="External"/><Relationship Id="rId54" Type="http://schemas.openxmlformats.org/officeDocument/2006/relationships/hyperlink" Target="mailto:mkhalifah@ejada.com" TargetMode="External"/><Relationship Id="rId70" Type="http://schemas.openxmlformats.org/officeDocument/2006/relationships/hyperlink" Target="mailto:aaalanazi@ejada.com" TargetMode="External"/><Relationship Id="rId75" Type="http://schemas.openxmlformats.org/officeDocument/2006/relationships/hyperlink" Target="mailto:hmantawy@ejada.com" TargetMode="External"/><Relationship Id="rId91" Type="http://schemas.openxmlformats.org/officeDocument/2006/relationships/hyperlink" Target="mailto:mmadkour@ejada.com" TargetMode="External"/><Relationship Id="rId96" Type="http://schemas.openxmlformats.org/officeDocument/2006/relationships/hyperlink" Target="mailto:bbassant@ejada.com" TargetMode="External"/><Relationship Id="rId1" Type="http://schemas.openxmlformats.org/officeDocument/2006/relationships/hyperlink" Target="mailto:oghazalah@ejada.com" TargetMode="External"/><Relationship Id="rId6" Type="http://schemas.openxmlformats.org/officeDocument/2006/relationships/hyperlink" Target="mailto:basim.nasir@ejada.com" TargetMode="External"/><Relationship Id="rId23" Type="http://schemas.openxmlformats.org/officeDocument/2006/relationships/hyperlink" Target="mailto:yzaky@ejada.com" TargetMode="External"/><Relationship Id="rId28" Type="http://schemas.openxmlformats.org/officeDocument/2006/relationships/hyperlink" Target="mailto:maisam@ejada.com" TargetMode="External"/><Relationship Id="rId49" Type="http://schemas.openxmlformats.org/officeDocument/2006/relationships/hyperlink" Target="mailto:halshamrani@ejada.com" TargetMode="External"/><Relationship Id="rId114" Type="http://schemas.openxmlformats.org/officeDocument/2006/relationships/hyperlink" Target="mailto:mennaallah@ejada.com" TargetMode="External"/><Relationship Id="rId119" Type="http://schemas.openxmlformats.org/officeDocument/2006/relationships/hyperlink" Target="mailto:mmabdullah@ejada.com" TargetMode="External"/><Relationship Id="rId44" Type="http://schemas.openxmlformats.org/officeDocument/2006/relationships/hyperlink" Target="mailto:mdraidi@ejada.com" TargetMode="External"/><Relationship Id="rId60" Type="http://schemas.openxmlformats.org/officeDocument/2006/relationships/hyperlink" Target="mailto:helsayed@ejada.com" TargetMode="External"/><Relationship Id="rId65" Type="http://schemas.openxmlformats.org/officeDocument/2006/relationships/hyperlink" Target="mailto:mghobashy@ejada.com" TargetMode="External"/><Relationship Id="rId81" Type="http://schemas.openxmlformats.org/officeDocument/2006/relationships/hyperlink" Target="mailto:szakaria@ejada.com" TargetMode="External"/><Relationship Id="rId86" Type="http://schemas.openxmlformats.org/officeDocument/2006/relationships/hyperlink" Target="mailto:melesawee@ejada.com" TargetMode="External"/><Relationship Id="rId130" Type="http://schemas.openxmlformats.org/officeDocument/2006/relationships/hyperlink" Target="mailto:yelmowafy@ejada.com" TargetMode="External"/><Relationship Id="rId135" Type="http://schemas.microsoft.com/office/2019/04/relationships/namedSheetView" Target="../namedSheetViews/namedSheetView1.xml"/><Relationship Id="rId13" Type="http://schemas.openxmlformats.org/officeDocument/2006/relationships/hyperlink" Target="mailto:maelsayed-v@ejada.com" TargetMode="External"/><Relationship Id="rId18" Type="http://schemas.openxmlformats.org/officeDocument/2006/relationships/hyperlink" Target="mailto:aelkilany@ejada.com" TargetMode="External"/><Relationship Id="rId39" Type="http://schemas.openxmlformats.org/officeDocument/2006/relationships/hyperlink" Target="mailto:nour.nafady@ejada.com" TargetMode="External"/><Relationship Id="rId109" Type="http://schemas.openxmlformats.org/officeDocument/2006/relationships/hyperlink" Target="mailto:maljarie@ejada.com" TargetMode="External"/><Relationship Id="rId34" Type="http://schemas.openxmlformats.org/officeDocument/2006/relationships/hyperlink" Target="mailto:masaid@ejada.com" TargetMode="External"/><Relationship Id="rId50" Type="http://schemas.openxmlformats.org/officeDocument/2006/relationships/hyperlink" Target="mailto:mshalaby@ejada.com" TargetMode="External"/><Relationship Id="rId55" Type="http://schemas.openxmlformats.org/officeDocument/2006/relationships/hyperlink" Target="mailto:aelsaid@ejada.com" TargetMode="External"/><Relationship Id="rId76" Type="http://schemas.openxmlformats.org/officeDocument/2006/relationships/hyperlink" Target="mailto:mostafa@ejada.com" TargetMode="External"/><Relationship Id="rId97" Type="http://schemas.openxmlformats.org/officeDocument/2006/relationships/hyperlink" Target="mailto:kibrahim@ejada.com" TargetMode="External"/><Relationship Id="rId104" Type="http://schemas.openxmlformats.org/officeDocument/2006/relationships/hyperlink" Target="mailto:hdessouky@ejada.com" TargetMode="External"/><Relationship Id="rId120" Type="http://schemas.openxmlformats.org/officeDocument/2006/relationships/hyperlink" Target="mailto:dkumar@ejada.com" TargetMode="External"/><Relationship Id="rId125" Type="http://schemas.openxmlformats.org/officeDocument/2006/relationships/hyperlink" Target="mailto:malmohamedi@ejada.com" TargetMode="External"/><Relationship Id="rId7" Type="http://schemas.openxmlformats.org/officeDocument/2006/relationships/hyperlink" Target="mailto:moeid@ejada.com" TargetMode="External"/><Relationship Id="rId71" Type="http://schemas.openxmlformats.org/officeDocument/2006/relationships/hyperlink" Target="mailto:mshaaban@ejada.com" TargetMode="External"/><Relationship Id="rId92" Type="http://schemas.openxmlformats.org/officeDocument/2006/relationships/hyperlink" Target="mailto:mohamed.madboly@ejada.com" TargetMode="External"/><Relationship Id="rId2" Type="http://schemas.openxmlformats.org/officeDocument/2006/relationships/hyperlink" Target="mailto:oibrahim@ejada.com" TargetMode="External"/><Relationship Id="rId29" Type="http://schemas.openxmlformats.org/officeDocument/2006/relationships/hyperlink" Target="mailto:usaleh@ejada.com" TargetMode="External"/><Relationship Id="rId24" Type="http://schemas.openxmlformats.org/officeDocument/2006/relationships/hyperlink" Target="mailto:yelmezyn@ejada.com" TargetMode="External"/><Relationship Id="rId40" Type="http://schemas.openxmlformats.org/officeDocument/2006/relationships/hyperlink" Target="mailto:nada.abdelrahim@ejada.com" TargetMode="External"/><Relationship Id="rId45" Type="http://schemas.openxmlformats.org/officeDocument/2006/relationships/hyperlink" Target="mailto:talnasyan@ejada.com" TargetMode="External"/><Relationship Id="rId66" Type="http://schemas.openxmlformats.org/officeDocument/2006/relationships/hyperlink" Target="mailto:Malbalkhi@ejada.com" TargetMode="External"/><Relationship Id="rId87" Type="http://schemas.openxmlformats.org/officeDocument/2006/relationships/hyperlink" Target="mailto:mabdelmegid@ejada.com" TargetMode="External"/><Relationship Id="rId110" Type="http://schemas.openxmlformats.org/officeDocument/2006/relationships/hyperlink" Target="mailto:hshaybon@ejada.com" TargetMode="External"/><Relationship Id="rId115" Type="http://schemas.openxmlformats.org/officeDocument/2006/relationships/hyperlink" Target="mailto:rjaber@ejada.com" TargetMode="External"/><Relationship Id="rId131" Type="http://schemas.openxmlformats.org/officeDocument/2006/relationships/hyperlink" Target="mailto:atmahmoud@ejada.com" TargetMode="External"/><Relationship Id="rId61" Type="http://schemas.openxmlformats.org/officeDocument/2006/relationships/hyperlink" Target="mailto:islam.zaki@ejada.com" TargetMode="External"/><Relationship Id="rId82" Type="http://schemas.openxmlformats.org/officeDocument/2006/relationships/hyperlink" Target="mailto:aisaleh@ejada.com" TargetMode="External"/><Relationship Id="rId19" Type="http://schemas.openxmlformats.org/officeDocument/2006/relationships/hyperlink" Target="mailto:abadr@ejada.com" TargetMode="External"/><Relationship Id="rId14" Type="http://schemas.openxmlformats.org/officeDocument/2006/relationships/hyperlink" Target="mailto:anouh@ejada.com" TargetMode="External"/><Relationship Id="rId30" Type="http://schemas.openxmlformats.org/officeDocument/2006/relationships/hyperlink" Target="mailto:yelshabrawy@ejada.com" TargetMode="External"/><Relationship Id="rId35" Type="http://schemas.openxmlformats.org/officeDocument/2006/relationships/hyperlink" Target="mailto:awkhalifa@ejada.com" TargetMode="External"/><Relationship Id="rId56" Type="http://schemas.openxmlformats.org/officeDocument/2006/relationships/hyperlink" Target="mailto:hsallam@ejada.com" TargetMode="External"/><Relationship Id="rId77" Type="http://schemas.openxmlformats.org/officeDocument/2006/relationships/hyperlink" Target="mailto:msallam@ejada.com" TargetMode="External"/><Relationship Id="rId100" Type="http://schemas.openxmlformats.org/officeDocument/2006/relationships/hyperlink" Target="mailto:ogfathy@ejada.com" TargetMode="External"/><Relationship Id="rId105" Type="http://schemas.openxmlformats.org/officeDocument/2006/relationships/hyperlink" Target="mailto:onour@ejada.com" TargetMode="External"/><Relationship Id="rId126" Type="http://schemas.openxmlformats.org/officeDocument/2006/relationships/hyperlink" Target="mailto:mabdelhadi@ejada.com" TargetMode="External"/><Relationship Id="rId8" Type="http://schemas.openxmlformats.org/officeDocument/2006/relationships/hyperlink" Target="mailto:imohamed@ejada.com" TargetMode="External"/><Relationship Id="rId51" Type="http://schemas.openxmlformats.org/officeDocument/2006/relationships/hyperlink" Target="mailto:hfmohamed@ejada.com" TargetMode="External"/><Relationship Id="rId72" Type="http://schemas.openxmlformats.org/officeDocument/2006/relationships/hyperlink" Target="mailto:mhamam@ejada.com" TargetMode="External"/><Relationship Id="rId93" Type="http://schemas.openxmlformats.org/officeDocument/2006/relationships/hyperlink" Target="mailto:mostafa.zayed@ejada.com" TargetMode="External"/><Relationship Id="rId98" Type="http://schemas.openxmlformats.org/officeDocument/2006/relationships/hyperlink" Target="mailto:ahmed.morsy@ejada.com" TargetMode="External"/><Relationship Id="rId121" Type="http://schemas.openxmlformats.org/officeDocument/2006/relationships/hyperlink" Target="mailto:malsammamre@ejada.com" TargetMode="External"/><Relationship Id="rId3" Type="http://schemas.openxmlformats.org/officeDocument/2006/relationships/hyperlink" Target="mailto:amr.alkady@ejada.com" TargetMode="External"/><Relationship Id="rId25" Type="http://schemas.openxmlformats.org/officeDocument/2006/relationships/hyperlink" Target="mailto:halharbi@ejada.com" TargetMode="External"/><Relationship Id="rId46" Type="http://schemas.openxmlformats.org/officeDocument/2006/relationships/hyperlink" Target="mailto:malshareef@ejada.com" TargetMode="External"/><Relationship Id="rId67" Type="http://schemas.openxmlformats.org/officeDocument/2006/relationships/hyperlink" Target="mailto:ifhassan@ejada.com" TargetMode="External"/><Relationship Id="rId116" Type="http://schemas.openxmlformats.org/officeDocument/2006/relationships/hyperlink" Target="mailto:mohhassan@ejada.com" TargetMode="External"/><Relationship Id="rId20" Type="http://schemas.openxmlformats.org/officeDocument/2006/relationships/hyperlink" Target="mailto:mwaseem@ejada.com" TargetMode="External"/><Relationship Id="rId41" Type="http://schemas.openxmlformats.org/officeDocument/2006/relationships/hyperlink" Target="mailto:kossama@ejada.com" TargetMode="External"/><Relationship Id="rId62" Type="http://schemas.openxmlformats.org/officeDocument/2006/relationships/hyperlink" Target="mailto:syabdelmetal@ejada.com" TargetMode="External"/><Relationship Id="rId83" Type="http://schemas.openxmlformats.org/officeDocument/2006/relationships/hyperlink" Target="mailto:ihassanin@ejada.com" TargetMode="External"/><Relationship Id="rId88" Type="http://schemas.openxmlformats.org/officeDocument/2006/relationships/hyperlink" Target="mailto:maisam@ejada.com" TargetMode="External"/><Relationship Id="rId111" Type="http://schemas.openxmlformats.org/officeDocument/2006/relationships/hyperlink" Target="mailto:ayman.sayed@ejada.com" TargetMode="External"/><Relationship Id="rId132" Type="http://schemas.openxmlformats.org/officeDocument/2006/relationships/hyperlink" Target="mailto:yhelsay@ejada.com" TargetMode="External"/><Relationship Id="rId15" Type="http://schemas.openxmlformats.org/officeDocument/2006/relationships/hyperlink" Target="mailto:hgamal@ejada.com" TargetMode="External"/><Relationship Id="rId36" Type="http://schemas.openxmlformats.org/officeDocument/2006/relationships/hyperlink" Target="mailto:relmekawy@ejada.com" TargetMode="External"/><Relationship Id="rId57" Type="http://schemas.openxmlformats.org/officeDocument/2006/relationships/hyperlink" Target="mailto:eismail@ejada.com" TargetMode="External"/><Relationship Id="rId106" Type="http://schemas.openxmlformats.org/officeDocument/2006/relationships/hyperlink" Target="mailto:ngaafar@ejada.com" TargetMode="External"/><Relationship Id="rId127" Type="http://schemas.openxmlformats.org/officeDocument/2006/relationships/hyperlink" Target="mailto:zalghamdi@ejada.com" TargetMode="External"/><Relationship Id="rId10" Type="http://schemas.openxmlformats.org/officeDocument/2006/relationships/hyperlink" Target="mailto:sabdelmaguid@ejada.com" TargetMode="External"/><Relationship Id="rId31" Type="http://schemas.openxmlformats.org/officeDocument/2006/relationships/hyperlink" Target="mailto:afarghaly@ejada.com" TargetMode="External"/><Relationship Id="rId52" Type="http://schemas.openxmlformats.org/officeDocument/2006/relationships/hyperlink" Target="mailto:aamohamed@ejada.com" TargetMode="External"/><Relationship Id="rId73" Type="http://schemas.openxmlformats.org/officeDocument/2006/relationships/hyperlink" Target="mailto:akotb@ejada.com" TargetMode="External"/><Relationship Id="rId78" Type="http://schemas.openxmlformats.org/officeDocument/2006/relationships/hyperlink" Target="mailto:telsaaed@ejada.com" TargetMode="External"/><Relationship Id="rId94" Type="http://schemas.openxmlformats.org/officeDocument/2006/relationships/hyperlink" Target="mailto:fbanoub@ejada.com" TargetMode="External"/><Relationship Id="rId99" Type="http://schemas.openxmlformats.org/officeDocument/2006/relationships/hyperlink" Target="mailto:noibrahim@ejada.com" TargetMode="External"/><Relationship Id="rId101" Type="http://schemas.openxmlformats.org/officeDocument/2006/relationships/hyperlink" Target="mailto:maelsayed-v@ejada.com" TargetMode="External"/><Relationship Id="rId122" Type="http://schemas.openxmlformats.org/officeDocument/2006/relationships/hyperlink" Target="mailto:aalbatshan@ejada.com" TargetMode="External"/><Relationship Id="rId4" Type="http://schemas.openxmlformats.org/officeDocument/2006/relationships/hyperlink" Target="mailto:miral.soliman@ejada.com" TargetMode="External"/><Relationship Id="rId9" Type="http://schemas.openxmlformats.org/officeDocument/2006/relationships/hyperlink" Target="mailto:nelkhawalka@ejada.com" TargetMode="External"/><Relationship Id="rId26" Type="http://schemas.openxmlformats.org/officeDocument/2006/relationships/hyperlink" Target="mailto:oalhasson@ejada.com" TargetMode="External"/><Relationship Id="rId47" Type="http://schemas.openxmlformats.org/officeDocument/2006/relationships/hyperlink" Target="mailto:maha.alaamri@ejada.com" TargetMode="External"/><Relationship Id="rId68" Type="http://schemas.openxmlformats.org/officeDocument/2006/relationships/hyperlink" Target="mailto:nalawudeen@ejada.com" TargetMode="External"/><Relationship Id="rId89" Type="http://schemas.openxmlformats.org/officeDocument/2006/relationships/hyperlink" Target="mailto:yelshabrawy@ejada.com" TargetMode="External"/><Relationship Id="rId112" Type="http://schemas.openxmlformats.org/officeDocument/2006/relationships/hyperlink" Target="mailto:ashaheen@ejada.com" TargetMode="External"/><Relationship Id="rId133" Type="http://schemas.openxmlformats.org/officeDocument/2006/relationships/hyperlink" Target="mailto:maramahmed@ejada.com"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B7"/>
  <sheetViews>
    <sheetView workbookViewId="0">
      <selection activeCell="A4" sqref="A4"/>
    </sheetView>
  </sheetViews>
  <sheetFormatPr defaultRowHeight="14.45"/>
  <cols>
    <col min="1" max="2" width="20" customWidth="1"/>
  </cols>
  <sheetData>
    <row r="1" spans="1:2">
      <c r="A1" s="1" t="s">
        <v>0</v>
      </c>
      <c r="B1" s="1" t="s">
        <v>1</v>
      </c>
    </row>
    <row r="2" spans="1:2">
      <c r="A2" s="12" t="s">
        <v>2</v>
      </c>
      <c r="B2" s="12" t="s">
        <v>3</v>
      </c>
    </row>
    <row r="3" spans="1:2">
      <c r="A3" s="12" t="s">
        <v>4</v>
      </c>
      <c r="B3" s="12" t="s">
        <v>5</v>
      </c>
    </row>
    <row r="4" spans="1:2">
      <c r="A4" s="12" t="s">
        <v>6</v>
      </c>
      <c r="B4" s="12" t="s">
        <v>7</v>
      </c>
    </row>
    <row r="5" spans="1:2">
      <c r="A5" s="12" t="s">
        <v>8</v>
      </c>
      <c r="B5" s="12" t="s">
        <v>9</v>
      </c>
    </row>
    <row r="6" spans="1:2">
      <c r="A6" s="12" t="s">
        <v>10</v>
      </c>
      <c r="B6" s="12" t="s">
        <v>11</v>
      </c>
    </row>
    <row r="7" spans="1:2">
      <c r="A7" s="12"/>
      <c r="B7" s="12" t="s">
        <v>12</v>
      </c>
    </row>
  </sheetData>
  <pageMargins left="0.75" right="0.75" top="1" bottom="1" header="0.5" footer="0.5"/>
  <headerFooter>
    <oddFooter>&amp;C_x000D_&amp;1#&amp;"Aptos"&amp;10&amp;KFFFF00 Ejada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K15"/>
  <sheetViews>
    <sheetView workbookViewId="0">
      <pane ySplit="5" topLeftCell="A6" activePane="bottomLeft" state="frozen"/>
      <selection pane="bottomLeft" activeCell="K7" sqref="K7"/>
    </sheetView>
  </sheetViews>
  <sheetFormatPr defaultRowHeight="14.45"/>
  <cols>
    <col min="1" max="1" width="18" customWidth="1"/>
    <col min="2" max="3" width="20" customWidth="1"/>
    <col min="4" max="4" width="13" customWidth="1"/>
    <col min="5" max="5" width="20" customWidth="1"/>
    <col min="6" max="6" width="17" customWidth="1"/>
    <col min="7" max="10" width="16" customWidth="1"/>
  </cols>
  <sheetData>
    <row r="1" spans="1:11" ht="36" customHeight="1">
      <c r="A1" s="64" t="s">
        <v>13</v>
      </c>
      <c r="B1" s="72"/>
      <c r="C1" s="72"/>
      <c r="D1" s="72"/>
      <c r="E1" s="72"/>
      <c r="F1" s="72"/>
      <c r="G1" s="72"/>
      <c r="H1" s="72"/>
      <c r="I1" s="72"/>
      <c r="J1" s="72"/>
    </row>
    <row r="2" spans="1:11">
      <c r="A2" s="65" t="s">
        <v>14</v>
      </c>
      <c r="B2" s="72"/>
      <c r="C2" s="72"/>
      <c r="D2" s="72"/>
      <c r="E2" s="72"/>
      <c r="F2" s="72"/>
      <c r="G2" s="72"/>
      <c r="H2" s="72"/>
      <c r="I2" s="72"/>
      <c r="J2" s="72"/>
    </row>
    <row r="4" spans="1:11" ht="15" customHeight="1">
      <c r="A4" s="66" t="s">
        <v>15</v>
      </c>
      <c r="B4" s="66"/>
      <c r="C4" s="66"/>
      <c r="D4" s="66"/>
      <c r="E4" s="66"/>
      <c r="F4" s="66"/>
      <c r="G4" s="66"/>
      <c r="H4" s="66"/>
      <c r="I4" s="66"/>
      <c r="J4" s="66"/>
      <c r="K4" s="66"/>
    </row>
    <row r="5" spans="1:11" ht="30" customHeight="1">
      <c r="A5" s="1" t="s">
        <v>16</v>
      </c>
      <c r="B5" s="1" t="s">
        <v>17</v>
      </c>
      <c r="C5" s="1" t="s">
        <v>18</v>
      </c>
      <c r="D5" s="1" t="s">
        <v>19</v>
      </c>
      <c r="E5" s="1" t="s">
        <v>20</v>
      </c>
      <c r="F5" s="1" t="s">
        <v>21</v>
      </c>
      <c r="G5" s="1" t="s">
        <v>22</v>
      </c>
      <c r="H5" s="1" t="s">
        <v>23</v>
      </c>
      <c r="I5" s="1" t="s">
        <v>24</v>
      </c>
      <c r="J5" s="1" t="s">
        <v>25</v>
      </c>
      <c r="K5" s="1" t="s">
        <v>26</v>
      </c>
    </row>
    <row r="6" spans="1:11">
      <c r="A6" s="2" t="s">
        <v>27</v>
      </c>
      <c r="B6" s="2" t="s">
        <v>28</v>
      </c>
      <c r="C6" s="2" t="s">
        <v>29</v>
      </c>
      <c r="D6" s="2">
        <f>COUNTA(ERP!G7:G46)</f>
        <v>5</v>
      </c>
      <c r="E6" s="2">
        <f>SUM(ERP!K7:K46)</f>
        <v>156</v>
      </c>
      <c r="F6" s="2">
        <f>SUM(ERP!L7:L46)</f>
        <v>72</v>
      </c>
      <c r="G6" s="2">
        <f>SUM(ERP!M7:M46)</f>
        <v>84</v>
      </c>
      <c r="H6" s="3">
        <f>IFERROR(AVERAGE(ERP!N7:N46),"")</f>
        <v>0.53333333333333333</v>
      </c>
      <c r="I6" s="4" t="str">
        <f>IFERROR(AVERAGE(ERP!O7:O46),"")</f>
        <v/>
      </c>
      <c r="J6" s="2">
        <f>COUNTIF(ERP!P7:P46,"Completed")</f>
        <v>5</v>
      </c>
      <c r="K6" s="2">
        <f>COUNTA(ERP_Projects)</f>
        <v>2</v>
      </c>
    </row>
    <row r="7" spans="1:11" ht="41.45">
      <c r="A7" s="5" t="s">
        <v>30</v>
      </c>
      <c r="B7" s="5" t="s">
        <v>31</v>
      </c>
      <c r="C7" s="5" t="s">
        <v>32</v>
      </c>
      <c r="D7" s="5">
        <f>COUNTA(CES!G7:G46)</f>
        <v>7</v>
      </c>
      <c r="E7" s="5">
        <f>SUM(CES!K7:K46)</f>
        <v>286</v>
      </c>
      <c r="F7" s="5">
        <f>SUM(CES!L7:L46)</f>
        <v>174.5</v>
      </c>
      <c r="G7" s="5">
        <f>SUM(CES!M7:M46)</f>
        <v>111.5</v>
      </c>
      <c r="H7" s="6">
        <f>IFERROR(AVERAGE(CES!N7:N46),"")</f>
        <v>0.60037878787878796</v>
      </c>
      <c r="I7" s="7">
        <f>IFERROR(AVERAGE(CES!O7:O46),"")</f>
        <v>3.6666666666666665</v>
      </c>
      <c r="J7" s="5">
        <f>COUNTIF(CES!P7:P46,"Completed")</f>
        <v>6</v>
      </c>
      <c r="K7" s="5">
        <f>COUNTA(CES_Projects)</f>
        <v>3</v>
      </c>
    </row>
    <row r="8" spans="1:11" ht="27.6">
      <c r="A8" s="2" t="s">
        <v>33</v>
      </c>
      <c r="B8" s="2" t="s">
        <v>34</v>
      </c>
      <c r="C8" s="2" t="s">
        <v>35</v>
      </c>
      <c r="D8" s="2">
        <f>COUNTA(BFSI!G7:G45)</f>
        <v>29</v>
      </c>
      <c r="E8" s="2">
        <f>SUM(BFSI!K7:K45)</f>
        <v>160</v>
      </c>
      <c r="F8" s="2">
        <f>SUM(BFSI!L7:L45)</f>
        <v>72.349999999999994</v>
      </c>
      <c r="G8" s="2">
        <f>SUM(BFSI!M7:M45)</f>
        <v>87.65</v>
      </c>
      <c r="H8" s="3">
        <f>IFERROR(AVERAGE(BFSI!N7:N45),"")</f>
        <v>0.50894909688013146</v>
      </c>
      <c r="I8" s="4">
        <f>IFERROR(AVERAGE(BFSI!O7:O45),"")</f>
        <v>4.2</v>
      </c>
      <c r="J8" s="2">
        <f>COUNTIF(BFSI!P7:P45,"Completed")</f>
        <v>29</v>
      </c>
      <c r="K8" s="2">
        <f>COUNTA(BFSI_Projects)</f>
        <v>11</v>
      </c>
    </row>
    <row r="9" spans="1:11" ht="27.6">
      <c r="A9" s="5" t="s">
        <v>36</v>
      </c>
      <c r="B9" s="5" t="s">
        <v>37</v>
      </c>
      <c r="C9" s="5" t="s">
        <v>38</v>
      </c>
      <c r="D9" s="5">
        <f>COUNTA(EPS!G7:G46)</f>
        <v>6</v>
      </c>
      <c r="E9" s="5">
        <f>SUM(EPS!K7:K46)</f>
        <v>2.5</v>
      </c>
      <c r="F9" s="5">
        <f>SUM(EPS!L7:L46)</f>
        <v>0.01</v>
      </c>
      <c r="G9" s="5">
        <f>SUM(EPS!M7:M46)</f>
        <v>0.49</v>
      </c>
      <c r="H9" s="6">
        <f>IFERROR(AVERAGE(EPS!N7:N46),"")</f>
        <v>0.98</v>
      </c>
      <c r="I9" s="7">
        <f>IFERROR(AVERAGE(EPS!O7:O46),"")</f>
        <v>4</v>
      </c>
      <c r="J9" s="5">
        <f>COUNTIF(EPS!P7:P46,"Completed")</f>
        <v>1</v>
      </c>
      <c r="K9" s="5">
        <f>COUNTA(EPS_Projects)</f>
        <v>2</v>
      </c>
    </row>
    <row r="10" spans="1:11">
      <c r="A10" s="2" t="s">
        <v>39</v>
      </c>
      <c r="B10" s="2" t="s">
        <v>40</v>
      </c>
      <c r="C10" s="2" t="s">
        <v>41</v>
      </c>
      <c r="D10" s="2">
        <f>COUNTA(GRC!G7:G44)</f>
        <v>6</v>
      </c>
      <c r="E10" s="2">
        <f>SUM(GRC!K7:K44)</f>
        <v>30</v>
      </c>
      <c r="F10" s="2">
        <f>SUM(GRC!L7:L44)</f>
        <v>5.25</v>
      </c>
      <c r="G10" s="2">
        <f>SUM(GRC!M7:M44)</f>
        <v>24.75</v>
      </c>
      <c r="H10" s="3">
        <f>IFERROR(AVERAGE(GRC!N7:N44),"")</f>
        <v>0.84722222222222221</v>
      </c>
      <c r="I10" s="4">
        <f>IFERROR(AVERAGE(GRC!O7:O44),"")</f>
        <v>4.666666666666667</v>
      </c>
      <c r="J10" s="2">
        <f>COUNTIF(GRC!P7:P44,"Completed")</f>
        <v>6</v>
      </c>
      <c r="K10" s="2">
        <f>COUNTA(GRC_Projects)</f>
        <v>3</v>
      </c>
    </row>
    <row r="11" spans="1:11" ht="27">
      <c r="A11" s="5" t="s">
        <v>42</v>
      </c>
      <c r="B11" s="5" t="s">
        <v>43</v>
      </c>
      <c r="C11" s="5" t="s">
        <v>44</v>
      </c>
      <c r="D11" s="5">
        <f>COUNTA(EPCS!G7:G46)</f>
        <v>3</v>
      </c>
      <c r="E11" s="5">
        <f>SUM(EPCS!K7:K46)</f>
        <v>0</v>
      </c>
      <c r="F11" s="5">
        <f>SUM(EPCS!L7:L46)</f>
        <v>0</v>
      </c>
      <c r="G11" s="5">
        <f>SUM(EPCS!M7:M46)</f>
        <v>0</v>
      </c>
      <c r="H11" s="6" t="str">
        <f>IFERROR(AVERAGE(EPCS!N7:N46),"")</f>
        <v/>
      </c>
      <c r="I11" s="7">
        <f>IFERROR(AVERAGE(EPCS!O7:O46),"")</f>
        <v>4.666666666666667</v>
      </c>
      <c r="J11" s="5">
        <f>COUNTIF(EPCS!P7:P46,"Completed")</f>
        <v>0</v>
      </c>
      <c r="K11" s="5">
        <f>COUNTA(EPCS_Projects)</f>
        <v>4</v>
      </c>
    </row>
    <row r="12" spans="1:11">
      <c r="A12" s="1" t="s">
        <v>45</v>
      </c>
      <c r="B12" s="8"/>
      <c r="C12" s="8"/>
      <c r="D12" s="9">
        <f>SUM(D6:D11)</f>
        <v>56</v>
      </c>
      <c r="E12" s="9">
        <f>SUM(E6:E11)</f>
        <v>634.5</v>
      </c>
      <c r="F12" s="9">
        <f>SUM(F6:F11)</f>
        <v>324.11</v>
      </c>
      <c r="G12" s="9">
        <f>SUM(G6:G11)</f>
        <v>308.39</v>
      </c>
      <c r="H12" s="10">
        <f>IFERROR(AVERAGE(H6:H11),"")</f>
        <v>0.69397668806289503</v>
      </c>
      <c r="I12" s="11">
        <f>IFERROR(AVERAGE(I6:I11),"")</f>
        <v>4.24</v>
      </c>
      <c r="J12" s="9">
        <f>SUM(J6:J11)</f>
        <v>47</v>
      </c>
      <c r="K12" s="9">
        <f>SUM(K6:K11)</f>
        <v>25</v>
      </c>
    </row>
    <row r="15" spans="1:11">
      <c r="A15" s="63" t="s">
        <v>46</v>
      </c>
      <c r="B15" s="72"/>
      <c r="C15" s="72"/>
      <c r="D15" s="72"/>
      <c r="E15" s="72"/>
      <c r="F15" s="72"/>
      <c r="G15" s="72"/>
      <c r="H15" s="72"/>
      <c r="I15" s="72"/>
      <c r="J15" s="72"/>
    </row>
  </sheetData>
  <mergeCells count="4">
    <mergeCell ref="A15:J15"/>
    <mergeCell ref="A1:J1"/>
    <mergeCell ref="A2:J2"/>
    <mergeCell ref="A4:K4"/>
  </mergeCells>
  <pageMargins left="0.75" right="0.75" top="1" bottom="1" header="0.5" footer="0.5"/>
  <headerFooter>
    <oddFooter>&amp;C_x000D_&amp;1#&amp;"Aptos"&amp;10&amp;KFFFF00 Ejada Internal Use Only</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EE7C-CE53-4CD9-8EB5-B69637728F60}">
  <sheetPr>
    <tabColor theme="6" tint="0.39997558519241921"/>
  </sheetPr>
  <dimension ref="A1:T34"/>
  <sheetViews>
    <sheetView workbookViewId="0">
      <selection activeCell="E5" sqref="E5"/>
    </sheetView>
  </sheetViews>
  <sheetFormatPr defaultRowHeight="14.45"/>
  <cols>
    <col min="1" max="1" width="1.85546875" bestFit="1" customWidth="1"/>
    <col min="2" max="2" width="17" customWidth="1"/>
    <col min="3" max="3" width="7.42578125" bestFit="1" customWidth="1"/>
    <col min="5" max="5" width="10.42578125" customWidth="1"/>
    <col min="6" max="6" width="7" bestFit="1" customWidth="1"/>
    <col min="7" max="7" width="9.85546875" bestFit="1" customWidth="1"/>
    <col min="8" max="8" width="10.5703125" bestFit="1" customWidth="1"/>
    <col min="9" max="9" width="64.28515625" bestFit="1" customWidth="1"/>
    <col min="10" max="10" width="7.140625" bestFit="1" customWidth="1"/>
    <col min="11" max="11" width="16" customWidth="1"/>
    <col min="12" max="12" width="20.5703125" customWidth="1"/>
    <col min="13" max="13" width="8.5703125" bestFit="1" customWidth="1"/>
    <col min="14" max="14" width="11.5703125" bestFit="1" customWidth="1"/>
    <col min="15" max="15" width="26.85546875" bestFit="1" customWidth="1"/>
    <col min="16" max="16" width="7.28515625" bestFit="1" customWidth="1"/>
    <col min="17" max="17" width="10.140625" bestFit="1" customWidth="1"/>
    <col min="18" max="18" width="8.140625" bestFit="1" customWidth="1"/>
    <col min="19" max="19" width="8.5703125" bestFit="1" customWidth="1"/>
    <col min="20" max="20" width="11.5703125" bestFit="1" customWidth="1"/>
  </cols>
  <sheetData>
    <row r="1" spans="1:20" ht="30" customHeight="1">
      <c r="A1" s="67" t="s">
        <v>47</v>
      </c>
      <c r="B1" s="72"/>
      <c r="C1" s="72"/>
      <c r="D1" s="72"/>
      <c r="E1" s="72"/>
      <c r="F1" s="72"/>
      <c r="G1" s="72"/>
      <c r="H1" s="72"/>
      <c r="I1" s="72"/>
      <c r="J1" s="72"/>
      <c r="K1" s="72"/>
      <c r="L1" s="72"/>
      <c r="M1" s="72"/>
      <c r="N1" s="72"/>
      <c r="O1" s="72"/>
      <c r="P1" s="72"/>
      <c r="Q1" s="72"/>
      <c r="R1" s="72"/>
      <c r="S1" s="72"/>
      <c r="T1" s="72"/>
    </row>
    <row r="2" spans="1:20">
      <c r="A2" s="68" t="s">
        <v>48</v>
      </c>
      <c r="B2" s="72"/>
      <c r="C2" s="72"/>
      <c r="D2" s="72"/>
      <c r="E2" s="72"/>
      <c r="F2" s="72"/>
      <c r="G2" s="72"/>
      <c r="H2" s="72"/>
      <c r="I2" s="72"/>
      <c r="J2" s="72"/>
      <c r="K2" s="72"/>
      <c r="L2" s="72"/>
      <c r="M2" s="72"/>
      <c r="N2" s="72"/>
      <c r="O2" s="72"/>
      <c r="P2" s="72"/>
      <c r="Q2" s="72"/>
      <c r="R2" s="72"/>
      <c r="S2" s="72"/>
      <c r="T2" s="72"/>
    </row>
    <row r="4" spans="1:20" ht="57.6">
      <c r="A4" s="1" t="s">
        <v>49</v>
      </c>
      <c r="B4" s="1" t="s">
        <v>50</v>
      </c>
      <c r="C4" s="1" t="s">
        <v>16</v>
      </c>
      <c r="D4" s="1" t="s">
        <v>51</v>
      </c>
      <c r="E4" s="1" t="s">
        <v>52</v>
      </c>
      <c r="F4" s="1" t="s">
        <v>53</v>
      </c>
      <c r="G4" s="1" t="s">
        <v>54</v>
      </c>
      <c r="H4" s="1" t="s">
        <v>55</v>
      </c>
      <c r="I4" s="1" t="s">
        <v>56</v>
      </c>
      <c r="J4" s="1" t="s">
        <v>1</v>
      </c>
      <c r="K4" s="1" t="s">
        <v>57</v>
      </c>
      <c r="L4" s="1" t="s">
        <v>58</v>
      </c>
      <c r="M4" s="1" t="s">
        <v>59</v>
      </c>
      <c r="N4" s="1" t="s">
        <v>60</v>
      </c>
      <c r="O4" s="1" t="s">
        <v>61</v>
      </c>
      <c r="P4" s="1" t="s">
        <v>62</v>
      </c>
      <c r="Q4" s="1" t="s">
        <v>63</v>
      </c>
      <c r="R4" s="1" t="s">
        <v>64</v>
      </c>
      <c r="S4" s="1" t="s">
        <v>65</v>
      </c>
      <c r="T4" s="1" t="s">
        <v>66</v>
      </c>
    </row>
    <row r="5" spans="1:20" ht="259.5" customHeight="1">
      <c r="A5" s="2">
        <f t="shared" ref="A5:A34" si="0">IF(H5&lt;&gt;"",ROW()-4,"")</f>
        <v>1</v>
      </c>
      <c r="B5" s="29">
        <v>46081</v>
      </c>
      <c r="C5" s="2" t="s">
        <v>67</v>
      </c>
      <c r="D5" s="2" t="s">
        <v>68</v>
      </c>
      <c r="E5" s="2"/>
      <c r="F5" s="2" t="s">
        <v>35</v>
      </c>
      <c r="G5" s="2" t="s">
        <v>69</v>
      </c>
      <c r="H5" s="2" t="s">
        <v>70</v>
      </c>
      <c r="I5" s="26" t="s">
        <v>71</v>
      </c>
      <c r="J5" s="2" t="s">
        <v>3</v>
      </c>
      <c r="K5" s="2" t="s">
        <v>10</v>
      </c>
      <c r="L5" s="2" t="s">
        <v>72</v>
      </c>
      <c r="M5" s="2" t="s">
        <v>73</v>
      </c>
      <c r="N5" s="26" t="s">
        <v>74</v>
      </c>
      <c r="O5" s="26" t="s">
        <v>75</v>
      </c>
      <c r="P5" s="2" t="s">
        <v>76</v>
      </c>
      <c r="Q5" s="2"/>
      <c r="R5" s="2" t="s">
        <v>77</v>
      </c>
      <c r="S5" s="2"/>
      <c r="T5" s="26" t="s">
        <v>78</v>
      </c>
    </row>
    <row r="6" spans="1:20" ht="105.75" customHeight="1">
      <c r="A6" s="30">
        <v>2</v>
      </c>
      <c r="B6" s="31">
        <v>46078</v>
      </c>
      <c r="C6" s="32" t="s">
        <v>79</v>
      </c>
      <c r="D6" s="32" t="s">
        <v>80</v>
      </c>
      <c r="E6" s="32" t="s">
        <v>81</v>
      </c>
      <c r="F6" s="32" t="s">
        <v>44</v>
      </c>
      <c r="G6" s="32" t="s">
        <v>82</v>
      </c>
      <c r="H6" s="32" t="s">
        <v>83</v>
      </c>
      <c r="I6" s="32" t="s">
        <v>84</v>
      </c>
      <c r="J6" s="32" t="s">
        <v>3</v>
      </c>
      <c r="K6" s="32" t="s">
        <v>85</v>
      </c>
      <c r="L6" s="32" t="s">
        <v>86</v>
      </c>
      <c r="M6" s="32" t="s">
        <v>87</v>
      </c>
      <c r="N6" s="32" t="s">
        <v>88</v>
      </c>
      <c r="O6" s="32" t="s">
        <v>89</v>
      </c>
      <c r="P6" s="32" t="s">
        <v>76</v>
      </c>
      <c r="Q6" s="32">
        <v>2</v>
      </c>
      <c r="R6" s="32" t="s">
        <v>77</v>
      </c>
      <c r="S6" s="33" t="s">
        <v>90</v>
      </c>
      <c r="T6" s="32" t="s">
        <v>91</v>
      </c>
    </row>
    <row r="7" spans="1:20" ht="108">
      <c r="A7" s="2">
        <f t="shared" si="0"/>
        <v>3</v>
      </c>
      <c r="B7" s="29">
        <v>46145</v>
      </c>
      <c r="C7" s="34" t="s">
        <v>79</v>
      </c>
      <c r="D7" s="2" t="s">
        <v>92</v>
      </c>
      <c r="E7" s="35">
        <v>14005204</v>
      </c>
      <c r="F7" s="2" t="s">
        <v>93</v>
      </c>
      <c r="G7" s="2" t="s">
        <v>94</v>
      </c>
      <c r="H7" s="2" t="s">
        <v>95</v>
      </c>
      <c r="I7" s="2" t="s">
        <v>96</v>
      </c>
      <c r="J7" s="34" t="s">
        <v>3</v>
      </c>
      <c r="K7" s="2" t="s">
        <v>97</v>
      </c>
      <c r="L7" s="2"/>
      <c r="M7" s="2"/>
      <c r="N7" s="2" t="s">
        <v>98</v>
      </c>
      <c r="O7" s="2" t="s">
        <v>99</v>
      </c>
      <c r="P7" s="34" t="s">
        <v>76</v>
      </c>
      <c r="Q7" s="2">
        <v>8</v>
      </c>
      <c r="R7" s="2" t="s">
        <v>100</v>
      </c>
      <c r="S7" s="2"/>
      <c r="T7" s="2"/>
    </row>
    <row r="8" spans="1:20" ht="167.25">
      <c r="A8" s="5">
        <f t="shared" si="0"/>
        <v>4</v>
      </c>
      <c r="B8" s="5" t="s">
        <v>101</v>
      </c>
      <c r="C8" s="34" t="s">
        <v>79</v>
      </c>
      <c r="D8" s="5" t="s">
        <v>102</v>
      </c>
      <c r="E8" s="5" t="s">
        <v>103</v>
      </c>
      <c r="F8" s="2" t="s">
        <v>93</v>
      </c>
      <c r="G8" s="2" t="s">
        <v>94</v>
      </c>
      <c r="H8" s="2" t="s">
        <v>104</v>
      </c>
      <c r="I8" s="5" t="s">
        <v>105</v>
      </c>
      <c r="J8" s="34" t="s">
        <v>3</v>
      </c>
      <c r="K8" s="32" t="s">
        <v>85</v>
      </c>
      <c r="L8" s="5"/>
      <c r="M8" s="5"/>
      <c r="N8" s="5" t="s">
        <v>106</v>
      </c>
      <c r="O8" s="5" t="s">
        <v>107</v>
      </c>
      <c r="P8" s="34" t="s">
        <v>76</v>
      </c>
      <c r="Q8" s="5"/>
      <c r="R8" s="5" t="s">
        <v>77</v>
      </c>
      <c r="S8" s="36" t="s">
        <v>108</v>
      </c>
      <c r="T8" s="5"/>
    </row>
    <row r="9" spans="1:20">
      <c r="A9" s="2" t="str">
        <f t="shared" si="0"/>
        <v/>
      </c>
      <c r="B9" s="2"/>
      <c r="C9" s="2"/>
      <c r="D9" s="2"/>
      <c r="E9" s="2"/>
      <c r="F9" s="2"/>
      <c r="G9" s="2"/>
      <c r="H9" s="2"/>
      <c r="I9" s="2"/>
      <c r="J9" s="2"/>
      <c r="K9" s="2"/>
      <c r="L9" s="2"/>
      <c r="M9" s="2"/>
      <c r="N9" s="2"/>
      <c r="O9" s="2"/>
      <c r="P9" s="2"/>
      <c r="Q9" s="2"/>
      <c r="R9" s="2"/>
      <c r="S9" s="2"/>
      <c r="T9" s="2"/>
    </row>
    <row r="10" spans="1:20">
      <c r="A10" s="5" t="str">
        <f t="shared" si="0"/>
        <v/>
      </c>
      <c r="B10" s="5"/>
      <c r="C10" s="5"/>
      <c r="D10" s="5"/>
      <c r="E10" s="5"/>
      <c r="F10" s="5"/>
      <c r="G10" s="5"/>
      <c r="H10" s="5"/>
      <c r="I10" s="5"/>
      <c r="J10" s="5"/>
      <c r="K10" s="5"/>
      <c r="L10" s="5"/>
      <c r="M10" s="5"/>
      <c r="N10" s="5"/>
      <c r="O10" s="5"/>
      <c r="P10" s="5"/>
      <c r="Q10" s="5"/>
      <c r="R10" s="5"/>
      <c r="S10" s="5"/>
      <c r="T10" s="5"/>
    </row>
    <row r="11" spans="1:20">
      <c r="A11" s="2" t="str">
        <f t="shared" si="0"/>
        <v/>
      </c>
      <c r="B11" s="2"/>
      <c r="C11" s="2"/>
      <c r="D11" s="2"/>
      <c r="E11" s="2"/>
      <c r="F11" s="2"/>
      <c r="G11" s="2"/>
      <c r="H11" s="2"/>
      <c r="I11" s="2"/>
      <c r="J11" s="2"/>
      <c r="K11" s="2"/>
      <c r="L11" s="2"/>
      <c r="M11" s="2"/>
      <c r="N11" s="2"/>
      <c r="O11" s="2"/>
      <c r="P11" s="2"/>
      <c r="Q11" s="2"/>
      <c r="R11" s="2"/>
      <c r="S11" s="2"/>
      <c r="T11" s="2"/>
    </row>
    <row r="12" spans="1:20">
      <c r="A12" s="5" t="str">
        <f t="shared" si="0"/>
        <v/>
      </c>
      <c r="B12" s="5"/>
      <c r="C12" s="5"/>
      <c r="D12" s="5"/>
      <c r="E12" s="5"/>
      <c r="F12" s="5"/>
      <c r="G12" s="5"/>
      <c r="H12" s="5"/>
      <c r="I12" s="5"/>
      <c r="J12" s="5"/>
      <c r="K12" s="5"/>
      <c r="L12" s="5"/>
      <c r="M12" s="5"/>
      <c r="N12" s="5"/>
      <c r="O12" s="5"/>
      <c r="P12" s="5"/>
      <c r="Q12" s="5"/>
      <c r="R12" s="5"/>
      <c r="S12" s="5"/>
      <c r="T12" s="5"/>
    </row>
    <row r="13" spans="1:20">
      <c r="A13" s="2" t="str">
        <f t="shared" si="0"/>
        <v/>
      </c>
      <c r="B13" s="2"/>
      <c r="C13" s="2"/>
      <c r="D13" s="2"/>
      <c r="E13" s="2"/>
      <c r="F13" s="2"/>
      <c r="G13" s="2"/>
      <c r="H13" s="2"/>
      <c r="I13" s="2"/>
      <c r="J13" s="2"/>
      <c r="K13" s="2"/>
      <c r="L13" s="2"/>
      <c r="M13" s="2"/>
      <c r="N13" s="2"/>
      <c r="O13" s="2"/>
      <c r="P13" s="2"/>
      <c r="Q13" s="2"/>
      <c r="R13" s="2"/>
      <c r="S13" s="2"/>
      <c r="T13" s="2"/>
    </row>
    <row r="14" spans="1:20">
      <c r="A14" s="5" t="str">
        <f t="shared" si="0"/>
        <v/>
      </c>
      <c r="B14" s="5"/>
      <c r="C14" s="5"/>
      <c r="D14" s="5"/>
      <c r="E14" s="5"/>
      <c r="F14" s="5"/>
      <c r="G14" s="5"/>
      <c r="H14" s="5"/>
      <c r="I14" s="5"/>
      <c r="J14" s="5"/>
      <c r="K14" s="5"/>
      <c r="L14" s="5"/>
      <c r="M14" s="5"/>
      <c r="N14" s="5"/>
      <c r="O14" s="5"/>
      <c r="P14" s="5"/>
      <c r="Q14" s="5"/>
      <c r="R14" s="5"/>
      <c r="S14" s="5"/>
      <c r="T14" s="5"/>
    </row>
    <row r="15" spans="1:20">
      <c r="A15" s="2" t="str">
        <f t="shared" si="0"/>
        <v/>
      </c>
      <c r="B15" s="2"/>
      <c r="C15" s="2"/>
      <c r="D15" s="2"/>
      <c r="E15" s="2"/>
      <c r="F15" s="2"/>
      <c r="G15" s="2"/>
      <c r="H15" s="2"/>
      <c r="I15" s="2"/>
      <c r="J15" s="2"/>
      <c r="K15" s="2"/>
      <c r="L15" s="2"/>
      <c r="M15" s="2"/>
      <c r="N15" s="2"/>
      <c r="O15" s="2"/>
      <c r="P15" s="2"/>
      <c r="Q15" s="2"/>
      <c r="R15" s="2"/>
      <c r="S15" s="2"/>
      <c r="T15" s="2"/>
    </row>
    <row r="16" spans="1:20">
      <c r="A16" s="5" t="str">
        <f t="shared" si="0"/>
        <v/>
      </c>
      <c r="B16" s="5"/>
      <c r="C16" s="5"/>
      <c r="D16" s="5"/>
      <c r="E16" s="5"/>
      <c r="F16" s="5"/>
      <c r="G16" s="5"/>
      <c r="H16" s="5"/>
      <c r="I16" s="5"/>
      <c r="J16" s="5"/>
      <c r="K16" s="5"/>
      <c r="L16" s="5"/>
      <c r="M16" s="5"/>
      <c r="N16" s="5"/>
      <c r="O16" s="5"/>
      <c r="P16" s="5"/>
      <c r="Q16" s="5"/>
      <c r="R16" s="5"/>
      <c r="S16" s="5"/>
      <c r="T16" s="5"/>
    </row>
    <row r="17" spans="1:20">
      <c r="A17" s="2" t="str">
        <f t="shared" si="0"/>
        <v/>
      </c>
      <c r="B17" s="2"/>
      <c r="C17" s="2"/>
      <c r="D17" s="2"/>
      <c r="E17" s="2"/>
      <c r="F17" s="2"/>
      <c r="G17" s="2"/>
      <c r="H17" s="2"/>
      <c r="I17" s="2"/>
      <c r="J17" s="2"/>
      <c r="K17" s="2"/>
      <c r="L17" s="2"/>
      <c r="M17" s="2"/>
      <c r="N17" s="2"/>
      <c r="O17" s="2"/>
      <c r="P17" s="2"/>
      <c r="Q17" s="2"/>
      <c r="R17" s="2"/>
      <c r="S17" s="2"/>
      <c r="T17" s="2"/>
    </row>
    <row r="18" spans="1:20">
      <c r="A18" s="5" t="str">
        <f t="shared" si="0"/>
        <v/>
      </c>
      <c r="B18" s="5"/>
      <c r="C18" s="5"/>
      <c r="D18" s="5"/>
      <c r="E18" s="5"/>
      <c r="F18" s="5"/>
      <c r="G18" s="5"/>
      <c r="H18" s="5"/>
      <c r="I18" s="5"/>
      <c r="J18" s="5"/>
      <c r="K18" s="5"/>
      <c r="L18" s="5"/>
      <c r="M18" s="5"/>
      <c r="N18" s="5"/>
      <c r="O18" s="5"/>
      <c r="P18" s="5"/>
      <c r="Q18" s="5"/>
      <c r="R18" s="5"/>
      <c r="S18" s="5"/>
      <c r="T18" s="5"/>
    </row>
    <row r="19" spans="1:20">
      <c r="A19" s="2" t="str">
        <f t="shared" si="0"/>
        <v/>
      </c>
      <c r="B19" s="2"/>
      <c r="C19" s="2"/>
      <c r="D19" s="2"/>
      <c r="E19" s="2"/>
      <c r="F19" s="2"/>
      <c r="G19" s="2"/>
      <c r="H19" s="2"/>
      <c r="I19" s="2"/>
      <c r="J19" s="2"/>
      <c r="K19" s="2"/>
      <c r="L19" s="2"/>
      <c r="M19" s="2"/>
      <c r="N19" s="2"/>
      <c r="O19" s="2"/>
      <c r="P19" s="2"/>
      <c r="Q19" s="2"/>
      <c r="R19" s="2"/>
      <c r="S19" s="2"/>
      <c r="T19" s="2"/>
    </row>
    <row r="20" spans="1:20">
      <c r="A20" s="5" t="str">
        <f t="shared" si="0"/>
        <v/>
      </c>
      <c r="B20" s="5"/>
      <c r="C20" s="5"/>
      <c r="D20" s="5"/>
      <c r="E20" s="5"/>
      <c r="F20" s="5"/>
      <c r="G20" s="5"/>
      <c r="H20" s="5"/>
      <c r="I20" s="5"/>
      <c r="J20" s="5"/>
      <c r="K20" s="5"/>
      <c r="L20" s="5"/>
      <c r="M20" s="5"/>
      <c r="N20" s="5"/>
      <c r="O20" s="5"/>
      <c r="P20" s="5"/>
      <c r="Q20" s="5"/>
      <c r="R20" s="5"/>
      <c r="S20" s="5"/>
      <c r="T20" s="5"/>
    </row>
    <row r="21" spans="1:20">
      <c r="A21" s="2" t="str">
        <f t="shared" si="0"/>
        <v/>
      </c>
      <c r="B21" s="2"/>
      <c r="C21" s="2"/>
      <c r="D21" s="2"/>
      <c r="E21" s="2"/>
      <c r="F21" s="2"/>
      <c r="G21" s="2"/>
      <c r="H21" s="2"/>
      <c r="I21" s="2"/>
      <c r="J21" s="2"/>
      <c r="K21" s="2"/>
      <c r="L21" s="2"/>
      <c r="M21" s="2"/>
      <c r="N21" s="2"/>
      <c r="O21" s="2"/>
      <c r="P21" s="2"/>
      <c r="Q21" s="2"/>
      <c r="R21" s="2"/>
      <c r="S21" s="2"/>
      <c r="T21" s="2"/>
    </row>
    <row r="22" spans="1:20">
      <c r="A22" s="5" t="str">
        <f t="shared" si="0"/>
        <v/>
      </c>
      <c r="B22" s="5"/>
      <c r="C22" s="5"/>
      <c r="D22" s="5"/>
      <c r="E22" s="5"/>
      <c r="F22" s="5"/>
      <c r="G22" s="5"/>
      <c r="H22" s="5"/>
      <c r="I22" s="5"/>
      <c r="J22" s="5"/>
      <c r="K22" s="5"/>
      <c r="L22" s="5"/>
      <c r="M22" s="5"/>
      <c r="N22" s="5"/>
      <c r="O22" s="5"/>
      <c r="P22" s="5"/>
      <c r="Q22" s="5"/>
      <c r="R22" s="5"/>
      <c r="S22" s="5"/>
      <c r="T22" s="5"/>
    </row>
    <row r="23" spans="1:20">
      <c r="A23" s="2" t="str">
        <f t="shared" si="0"/>
        <v/>
      </c>
      <c r="B23" s="2"/>
      <c r="C23" s="2"/>
      <c r="D23" s="2"/>
      <c r="E23" s="2"/>
      <c r="F23" s="2"/>
      <c r="G23" s="2"/>
      <c r="H23" s="2"/>
      <c r="I23" s="2"/>
      <c r="J23" s="2"/>
      <c r="K23" s="2"/>
      <c r="L23" s="2"/>
      <c r="M23" s="2"/>
      <c r="N23" s="2"/>
      <c r="O23" s="2"/>
      <c r="P23" s="2"/>
      <c r="Q23" s="2"/>
      <c r="R23" s="2"/>
      <c r="S23" s="2"/>
      <c r="T23" s="2"/>
    </row>
    <row r="24" spans="1:20">
      <c r="A24" s="5" t="str">
        <f t="shared" si="0"/>
        <v/>
      </c>
      <c r="B24" s="5"/>
      <c r="C24" s="5"/>
      <c r="D24" s="5"/>
      <c r="E24" s="5"/>
      <c r="F24" s="5"/>
      <c r="G24" s="5"/>
      <c r="H24" s="5"/>
      <c r="I24" s="5"/>
      <c r="J24" s="5"/>
      <c r="K24" s="5"/>
      <c r="L24" s="5"/>
      <c r="M24" s="5"/>
      <c r="N24" s="5"/>
      <c r="O24" s="5"/>
      <c r="P24" s="5"/>
      <c r="Q24" s="5"/>
      <c r="R24" s="5"/>
      <c r="S24" s="5"/>
      <c r="T24" s="5"/>
    </row>
    <row r="25" spans="1:20">
      <c r="A25" s="2" t="str">
        <f t="shared" si="0"/>
        <v/>
      </c>
      <c r="B25" s="2"/>
      <c r="C25" s="2"/>
      <c r="D25" s="2"/>
      <c r="E25" s="2"/>
      <c r="F25" s="2"/>
      <c r="G25" s="2"/>
      <c r="H25" s="2"/>
      <c r="I25" s="2"/>
      <c r="J25" s="2"/>
      <c r="K25" s="2"/>
      <c r="L25" s="2"/>
      <c r="M25" s="2"/>
      <c r="N25" s="2"/>
      <c r="O25" s="2"/>
      <c r="P25" s="2"/>
      <c r="Q25" s="2"/>
      <c r="R25" s="2"/>
      <c r="S25" s="2"/>
      <c r="T25" s="2"/>
    </row>
    <row r="26" spans="1:20">
      <c r="A26" s="5" t="str">
        <f t="shared" si="0"/>
        <v/>
      </c>
      <c r="B26" s="5"/>
      <c r="C26" s="5"/>
      <c r="D26" s="5"/>
      <c r="E26" s="5"/>
      <c r="F26" s="5"/>
      <c r="G26" s="5"/>
      <c r="H26" s="5"/>
      <c r="I26" s="5"/>
      <c r="J26" s="5"/>
      <c r="K26" s="5"/>
      <c r="L26" s="5"/>
      <c r="M26" s="5"/>
      <c r="N26" s="5"/>
      <c r="O26" s="5"/>
      <c r="P26" s="5"/>
      <c r="Q26" s="5"/>
      <c r="R26" s="5"/>
      <c r="S26" s="5"/>
      <c r="T26" s="5"/>
    </row>
    <row r="27" spans="1:20">
      <c r="A27" s="2" t="str">
        <f t="shared" si="0"/>
        <v/>
      </c>
      <c r="B27" s="2"/>
      <c r="C27" s="2"/>
      <c r="D27" s="2"/>
      <c r="E27" s="2"/>
      <c r="F27" s="2"/>
      <c r="G27" s="2"/>
      <c r="H27" s="2"/>
      <c r="I27" s="2"/>
      <c r="J27" s="2"/>
      <c r="K27" s="2"/>
      <c r="L27" s="2"/>
      <c r="M27" s="2"/>
      <c r="N27" s="2"/>
      <c r="O27" s="2"/>
      <c r="P27" s="2"/>
      <c r="Q27" s="2"/>
      <c r="R27" s="2"/>
      <c r="S27" s="2"/>
      <c r="T27" s="2"/>
    </row>
    <row r="28" spans="1:20">
      <c r="A28" s="5" t="str">
        <f t="shared" si="0"/>
        <v/>
      </c>
      <c r="B28" s="5"/>
      <c r="C28" s="5"/>
      <c r="D28" s="5"/>
      <c r="E28" s="5"/>
      <c r="F28" s="5"/>
      <c r="G28" s="5"/>
      <c r="H28" s="5"/>
      <c r="I28" s="5"/>
      <c r="J28" s="5"/>
      <c r="K28" s="5"/>
      <c r="L28" s="5"/>
      <c r="M28" s="5"/>
      <c r="N28" s="5"/>
      <c r="O28" s="5"/>
      <c r="P28" s="5"/>
      <c r="Q28" s="5"/>
      <c r="R28" s="5"/>
      <c r="S28" s="5"/>
      <c r="T28" s="5"/>
    </row>
    <row r="29" spans="1:20">
      <c r="A29" s="2" t="str">
        <f t="shared" si="0"/>
        <v/>
      </c>
      <c r="B29" s="2"/>
      <c r="C29" s="2"/>
      <c r="D29" s="2"/>
      <c r="E29" s="2"/>
      <c r="F29" s="2"/>
      <c r="G29" s="2"/>
      <c r="H29" s="2"/>
      <c r="I29" s="2"/>
      <c r="J29" s="2"/>
      <c r="K29" s="2"/>
      <c r="L29" s="2"/>
      <c r="M29" s="2"/>
      <c r="N29" s="2"/>
      <c r="O29" s="2"/>
      <c r="P29" s="2"/>
      <c r="Q29" s="2"/>
      <c r="R29" s="2"/>
      <c r="S29" s="2"/>
      <c r="T29" s="2"/>
    </row>
    <row r="30" spans="1:20">
      <c r="A30" s="5" t="str">
        <f t="shared" si="0"/>
        <v/>
      </c>
      <c r="B30" s="5"/>
      <c r="C30" s="5"/>
      <c r="D30" s="5"/>
      <c r="E30" s="5"/>
      <c r="F30" s="5"/>
      <c r="G30" s="5"/>
      <c r="H30" s="5"/>
      <c r="I30" s="5"/>
      <c r="J30" s="5"/>
      <c r="K30" s="5"/>
      <c r="L30" s="5"/>
      <c r="M30" s="5"/>
      <c r="N30" s="5"/>
      <c r="O30" s="5"/>
      <c r="P30" s="5"/>
      <c r="Q30" s="5"/>
      <c r="R30" s="5"/>
      <c r="S30" s="5"/>
      <c r="T30" s="5"/>
    </row>
    <row r="31" spans="1:20">
      <c r="A31" s="2" t="str">
        <f t="shared" si="0"/>
        <v/>
      </c>
      <c r="B31" s="2"/>
      <c r="C31" s="2"/>
      <c r="D31" s="2"/>
      <c r="E31" s="2"/>
      <c r="F31" s="2"/>
      <c r="G31" s="2"/>
      <c r="H31" s="2"/>
      <c r="I31" s="2"/>
      <c r="J31" s="2"/>
      <c r="K31" s="2"/>
      <c r="L31" s="2"/>
      <c r="M31" s="2"/>
      <c r="N31" s="2"/>
      <c r="O31" s="2"/>
      <c r="P31" s="2"/>
      <c r="Q31" s="2"/>
      <c r="R31" s="2"/>
      <c r="S31" s="2"/>
      <c r="T31" s="2"/>
    </row>
    <row r="32" spans="1:20">
      <c r="A32" s="5" t="str">
        <f t="shared" si="0"/>
        <v/>
      </c>
      <c r="B32" s="5"/>
      <c r="C32" s="5"/>
      <c r="D32" s="5"/>
      <c r="E32" s="5"/>
      <c r="F32" s="5"/>
      <c r="G32" s="5"/>
      <c r="H32" s="5"/>
      <c r="I32" s="5"/>
      <c r="J32" s="5"/>
      <c r="K32" s="5"/>
      <c r="L32" s="5"/>
      <c r="M32" s="5"/>
      <c r="N32" s="5"/>
      <c r="O32" s="5"/>
      <c r="P32" s="5"/>
      <c r="Q32" s="5"/>
      <c r="R32" s="5"/>
      <c r="S32" s="5"/>
      <c r="T32" s="5"/>
    </row>
    <row r="33" spans="1:20">
      <c r="A33" s="2" t="str">
        <f t="shared" si="0"/>
        <v/>
      </c>
      <c r="B33" s="2"/>
      <c r="C33" s="2"/>
      <c r="D33" s="2"/>
      <c r="E33" s="2"/>
      <c r="F33" s="2"/>
      <c r="G33" s="2"/>
      <c r="H33" s="2"/>
      <c r="I33" s="2"/>
      <c r="J33" s="2"/>
      <c r="K33" s="2"/>
      <c r="L33" s="2"/>
      <c r="M33" s="2"/>
      <c r="N33" s="2"/>
      <c r="O33" s="2"/>
      <c r="P33" s="2"/>
      <c r="Q33" s="2"/>
      <c r="R33" s="2"/>
      <c r="S33" s="2"/>
      <c r="T33" s="2"/>
    </row>
    <row r="34" spans="1:20">
      <c r="A34" s="5" t="str">
        <f t="shared" si="0"/>
        <v/>
      </c>
      <c r="B34" s="5"/>
      <c r="C34" s="5"/>
      <c r="D34" s="5"/>
      <c r="E34" s="5"/>
      <c r="F34" s="5"/>
      <c r="G34" s="5"/>
      <c r="H34" s="5"/>
      <c r="I34" s="5"/>
      <c r="J34" s="5"/>
      <c r="K34" s="5"/>
      <c r="L34" s="5"/>
      <c r="M34" s="5"/>
      <c r="N34" s="5"/>
      <c r="O34" s="5"/>
      <c r="P34" s="5"/>
      <c r="Q34" s="5"/>
      <c r="R34" s="5"/>
      <c r="S34" s="5"/>
      <c r="T34" s="5"/>
    </row>
  </sheetData>
  <mergeCells count="2">
    <mergeCell ref="A1:T1"/>
    <mergeCell ref="A2:T2"/>
  </mergeCells>
  <dataValidations count="4">
    <dataValidation type="list" allowBlank="1" sqref="R5 R7:R34" xr:uid="{35CCDD63-3710-4E33-86D9-E93287DBA935}">
      <formula1>"Completed,In Progress,Planned,On Hold"</formula1>
    </dataValidation>
    <dataValidation type="list" allowBlank="1" prompt="Select cost type" sqref="P5 P9:P34" xr:uid="{5DC0809E-759E-4B28-8C4B-EF0D72C07D9A}">
      <formula1>"Free of Cost,Billed,Partially Billed,Internal Investment"</formula1>
    </dataValidation>
    <dataValidation type="list" allowBlank="1" prompt="Select category" sqref="K5 K7 K9:K34" xr:uid="{3A2388F6-7157-4C1F-95A8-2FC0A17575D5}">
      <formula1>"Code Review,POC,Automation,Migration,Documentation,Performance,Security,Innovation,Other"</formula1>
    </dataValidation>
    <dataValidation type="list" allowBlank="1" prompt="Select practice" sqref="C5 C9:C34" xr:uid="{CDE62DA6-3974-4069-80B9-280D1D8AE714}">
      <formula1>"ERP,CES,BFSI,EPS,GRC,EPCS"</formula1>
    </dataValidation>
  </dataValidations>
  <hyperlinks>
    <hyperlink ref="S6" r:id="rId1" xr:uid="{BE2A4288-0348-493C-930A-A46D1C61830E}"/>
    <hyperlink ref="S8" r:id="rId2" xr:uid="{E2B30520-C948-45F4-A7F6-242B7D9FDD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Q22"/>
  <sheetViews>
    <sheetView workbookViewId="0">
      <pane ySplit="2" topLeftCell="A3" activePane="bottomLeft" state="frozen"/>
      <selection pane="bottomLeft" activeCell="H13" sqref="H13"/>
    </sheetView>
  </sheetViews>
  <sheetFormatPr defaultRowHeight="14.45"/>
  <cols>
    <col min="1" max="1" width="30" customWidth="1"/>
    <col min="2" max="2" width="16" customWidth="1"/>
    <col min="4" max="4" width="30" customWidth="1"/>
    <col min="5" max="5" width="26.140625" customWidth="1"/>
    <col min="7" max="7" width="30" customWidth="1"/>
    <col min="8" max="8" width="16" customWidth="1"/>
    <col min="10" max="10" width="47.5703125" bestFit="1" customWidth="1"/>
    <col min="11" max="11" width="16" customWidth="1"/>
    <col min="13" max="13" width="30" customWidth="1"/>
    <col min="14" max="14" width="16" customWidth="1"/>
    <col min="16" max="16" width="30" customWidth="1"/>
    <col min="17" max="17" width="16" customWidth="1"/>
  </cols>
  <sheetData>
    <row r="1" spans="1:17">
      <c r="A1" s="69" t="s">
        <v>109</v>
      </c>
      <c r="B1" s="73"/>
      <c r="D1" s="69" t="s">
        <v>110</v>
      </c>
      <c r="E1" s="73"/>
      <c r="G1" s="69" t="s">
        <v>111</v>
      </c>
      <c r="H1" s="73"/>
      <c r="J1" s="69" t="s">
        <v>112</v>
      </c>
      <c r="K1" s="73"/>
      <c r="M1" s="69" t="s">
        <v>113</v>
      </c>
      <c r="N1" s="73"/>
      <c r="P1" s="69" t="s">
        <v>114</v>
      </c>
      <c r="Q1" s="73"/>
    </row>
    <row r="2" spans="1:17">
      <c r="A2" s="1" t="s">
        <v>115</v>
      </c>
      <c r="B2" s="1" t="s">
        <v>52</v>
      </c>
      <c r="D2" s="1" t="s">
        <v>115</v>
      </c>
      <c r="E2" s="1" t="s">
        <v>52</v>
      </c>
      <c r="G2" s="1" t="s">
        <v>115</v>
      </c>
      <c r="H2" s="1" t="s">
        <v>52</v>
      </c>
      <c r="J2" s="1" t="s">
        <v>115</v>
      </c>
      <c r="K2" s="1" t="s">
        <v>52</v>
      </c>
      <c r="M2" s="1" t="s">
        <v>115</v>
      </c>
      <c r="N2" s="1" t="s">
        <v>52</v>
      </c>
      <c r="P2" s="1" t="s">
        <v>115</v>
      </c>
      <c r="Q2" s="1" t="s">
        <v>52</v>
      </c>
    </row>
    <row r="3" spans="1:17" ht="27.6">
      <c r="A3" s="13" t="s">
        <v>116</v>
      </c>
      <c r="B3" s="12">
        <v>56000301</v>
      </c>
      <c r="D3" s="13" t="s">
        <v>117</v>
      </c>
      <c r="E3" s="12">
        <v>62002301</v>
      </c>
      <c r="G3" s="13" t="s">
        <v>118</v>
      </c>
      <c r="H3" s="12">
        <v>12135001</v>
      </c>
      <c r="J3" s="13" t="s">
        <v>119</v>
      </c>
      <c r="K3" s="12">
        <v>12158001</v>
      </c>
      <c r="M3" s="13" t="s">
        <v>120</v>
      </c>
      <c r="N3" s="12">
        <v>12164301</v>
      </c>
      <c r="P3" s="13" t="s">
        <v>92</v>
      </c>
      <c r="Q3" s="12">
        <v>14005204</v>
      </c>
    </row>
    <row r="4" spans="1:17" ht="27">
      <c r="A4" s="13" t="s">
        <v>121</v>
      </c>
      <c r="B4" s="12" t="s">
        <v>122</v>
      </c>
      <c r="D4" s="13" t="s">
        <v>123</v>
      </c>
      <c r="E4" s="12">
        <v>53008701</v>
      </c>
      <c r="G4" s="13" t="s">
        <v>124</v>
      </c>
      <c r="H4" s="12" t="s">
        <v>125</v>
      </c>
      <c r="J4" s="13" t="s">
        <v>126</v>
      </c>
      <c r="K4" s="12">
        <v>12150101</v>
      </c>
      <c r="M4" s="13" t="s">
        <v>127</v>
      </c>
      <c r="N4" s="12">
        <v>12144401</v>
      </c>
      <c r="P4" s="13" t="s">
        <v>102</v>
      </c>
      <c r="Q4" s="12" t="s">
        <v>103</v>
      </c>
    </row>
    <row r="5" spans="1:17" ht="27">
      <c r="A5" s="13"/>
      <c r="B5" s="12"/>
      <c r="D5" s="13" t="s">
        <v>128</v>
      </c>
      <c r="E5" s="12">
        <v>23045701</v>
      </c>
      <c r="G5" s="13" t="s">
        <v>129</v>
      </c>
      <c r="H5" s="12">
        <v>13011901</v>
      </c>
      <c r="J5" s="13"/>
      <c r="K5" s="12"/>
      <c r="M5" s="13" t="s">
        <v>130</v>
      </c>
      <c r="N5" s="12">
        <v>12154701</v>
      </c>
      <c r="P5" s="13" t="s">
        <v>80</v>
      </c>
      <c r="Q5" s="12" t="s">
        <v>81</v>
      </c>
    </row>
    <row r="6" spans="1:17" ht="27">
      <c r="A6" s="13"/>
      <c r="B6" s="12"/>
      <c r="D6" s="13"/>
      <c r="E6" s="12"/>
      <c r="G6" s="13" t="s">
        <v>131</v>
      </c>
      <c r="H6" s="12">
        <v>13012501</v>
      </c>
      <c r="J6" s="13"/>
      <c r="K6" s="12"/>
      <c r="M6" s="13"/>
      <c r="N6" s="12"/>
      <c r="P6" s="13" t="s">
        <v>132</v>
      </c>
      <c r="Q6" s="12">
        <v>56000301</v>
      </c>
    </row>
    <row r="7" spans="1:17" ht="27.6">
      <c r="A7" s="14"/>
      <c r="B7" s="14"/>
      <c r="D7" s="14"/>
      <c r="E7" s="14"/>
      <c r="G7" s="13" t="s">
        <v>133</v>
      </c>
      <c r="H7" s="12">
        <v>13005301</v>
      </c>
      <c r="J7" s="13"/>
      <c r="K7" s="12"/>
      <c r="M7" s="14"/>
      <c r="N7" s="14"/>
      <c r="P7" s="14"/>
      <c r="Q7" s="14"/>
    </row>
    <row r="8" spans="1:17" ht="27.6">
      <c r="A8" s="14"/>
      <c r="B8" s="14"/>
      <c r="D8" s="14"/>
      <c r="E8" s="14"/>
      <c r="G8" s="13" t="s">
        <v>134</v>
      </c>
      <c r="H8" s="12">
        <v>13008001</v>
      </c>
      <c r="J8" s="13"/>
      <c r="K8" s="12"/>
      <c r="M8" s="14"/>
      <c r="N8" s="14"/>
      <c r="P8" s="14"/>
      <c r="Q8" s="14"/>
    </row>
    <row r="9" spans="1:17" ht="27.6">
      <c r="A9" s="14"/>
      <c r="B9" s="14"/>
      <c r="D9" s="14"/>
      <c r="E9" s="14"/>
      <c r="G9" s="13" t="s">
        <v>135</v>
      </c>
      <c r="H9" s="12">
        <v>13008101</v>
      </c>
      <c r="J9" s="13"/>
      <c r="K9" s="12"/>
      <c r="M9" s="14"/>
      <c r="N9" s="14"/>
      <c r="P9" s="14"/>
      <c r="Q9" s="14"/>
    </row>
    <row r="10" spans="1:17">
      <c r="A10" s="14"/>
      <c r="B10" s="14"/>
      <c r="D10" s="14"/>
      <c r="E10" s="14"/>
      <c r="G10" s="13" t="s">
        <v>136</v>
      </c>
      <c r="H10" s="12">
        <v>13013201</v>
      </c>
      <c r="J10" s="13"/>
      <c r="K10" s="12"/>
      <c r="M10" s="14"/>
      <c r="N10" s="14"/>
      <c r="P10" s="14"/>
      <c r="Q10" s="14"/>
    </row>
    <row r="11" spans="1:17" ht="27.6">
      <c r="A11" s="14"/>
      <c r="B11" s="14"/>
      <c r="D11" s="14"/>
      <c r="E11" s="14"/>
      <c r="G11" s="13" t="s">
        <v>137</v>
      </c>
      <c r="H11" s="12">
        <v>94000802</v>
      </c>
      <c r="J11" s="13"/>
      <c r="K11" s="12"/>
      <c r="M11" s="14"/>
      <c r="N11" s="14"/>
      <c r="P11" s="14"/>
      <c r="Q11" s="14"/>
    </row>
    <row r="12" spans="1:17" ht="27.6">
      <c r="A12" s="14"/>
      <c r="B12" s="14"/>
      <c r="D12" s="14"/>
      <c r="E12" s="14"/>
      <c r="G12" s="13" t="s">
        <v>138</v>
      </c>
      <c r="H12" s="12">
        <v>94000601</v>
      </c>
      <c r="J12" s="13"/>
      <c r="K12" s="12"/>
      <c r="M12" s="14"/>
      <c r="N12" s="14"/>
      <c r="P12" s="14"/>
      <c r="Q12" s="14"/>
    </row>
    <row r="13" spans="1:17" ht="27">
      <c r="A13" s="14"/>
      <c r="B13" s="14"/>
      <c r="D13" s="14"/>
      <c r="E13" s="14"/>
      <c r="G13" s="39" t="s">
        <v>139</v>
      </c>
      <c r="H13" s="40">
        <v>12170301</v>
      </c>
      <c r="J13" s="13"/>
      <c r="K13" s="12"/>
      <c r="M13" s="14"/>
      <c r="N13" s="14"/>
      <c r="P13" s="14"/>
      <c r="Q13" s="14"/>
    </row>
    <row r="14" spans="1:17">
      <c r="A14" s="14"/>
      <c r="B14" s="14"/>
      <c r="D14" s="14"/>
      <c r="E14" s="14"/>
      <c r="G14" s="14"/>
      <c r="H14" s="14"/>
      <c r="J14" s="14"/>
      <c r="K14" s="14"/>
      <c r="M14" s="14"/>
      <c r="N14" s="14"/>
      <c r="P14" s="14"/>
      <c r="Q14" s="14"/>
    </row>
    <row r="15" spans="1:17">
      <c r="A15" s="14"/>
      <c r="B15" s="14"/>
      <c r="D15" s="14"/>
      <c r="E15" s="14"/>
      <c r="G15" s="14"/>
      <c r="H15" s="14"/>
      <c r="J15" s="14"/>
      <c r="K15" s="14"/>
      <c r="M15" s="14"/>
      <c r="N15" s="14"/>
      <c r="P15" s="14"/>
      <c r="Q15" s="14"/>
    </row>
    <row r="16" spans="1:17">
      <c r="A16" s="14"/>
      <c r="B16" s="14"/>
      <c r="D16" s="14"/>
      <c r="E16" s="14"/>
      <c r="G16" s="14"/>
      <c r="H16" s="14"/>
      <c r="J16" s="14"/>
      <c r="K16" s="14"/>
      <c r="M16" s="14"/>
      <c r="N16" s="14"/>
      <c r="P16" s="14"/>
      <c r="Q16" s="14"/>
    </row>
    <row r="17" spans="1:17">
      <c r="A17" s="14"/>
      <c r="B17" s="14"/>
      <c r="D17" s="14"/>
      <c r="E17" s="14"/>
      <c r="G17" s="14"/>
      <c r="H17" s="14"/>
      <c r="J17" s="14"/>
      <c r="K17" s="14"/>
      <c r="M17" s="14"/>
      <c r="N17" s="14"/>
      <c r="P17" s="14"/>
      <c r="Q17" s="14"/>
    </row>
    <row r="18" spans="1:17">
      <c r="A18" s="14"/>
      <c r="B18" s="14"/>
      <c r="D18" s="14"/>
      <c r="E18" s="14"/>
      <c r="G18" s="14"/>
      <c r="H18" s="14"/>
      <c r="J18" s="14"/>
      <c r="K18" s="14"/>
      <c r="M18" s="14"/>
      <c r="N18" s="14"/>
      <c r="P18" s="14"/>
      <c r="Q18" s="14"/>
    </row>
    <row r="19" spans="1:17">
      <c r="A19" s="14"/>
      <c r="B19" s="14"/>
      <c r="D19" s="14"/>
      <c r="E19" s="14"/>
      <c r="G19" s="14"/>
      <c r="H19" s="14"/>
      <c r="J19" s="14"/>
      <c r="K19" s="14"/>
      <c r="M19" s="14"/>
      <c r="N19" s="14"/>
      <c r="P19" s="14"/>
      <c r="Q19" s="14"/>
    </row>
    <row r="20" spans="1:17">
      <c r="A20" s="14"/>
      <c r="B20" s="14"/>
      <c r="D20" s="14"/>
      <c r="E20" s="14"/>
      <c r="G20" s="14"/>
      <c r="H20" s="14"/>
      <c r="J20" s="14"/>
      <c r="K20" s="14"/>
      <c r="M20" s="14"/>
      <c r="N20" s="14"/>
      <c r="P20" s="14"/>
      <c r="Q20" s="14"/>
    </row>
    <row r="21" spans="1:17">
      <c r="A21" s="14"/>
      <c r="B21" s="14"/>
      <c r="D21" s="14"/>
      <c r="E21" s="14"/>
      <c r="G21" s="14"/>
      <c r="H21" s="14"/>
      <c r="J21" s="14"/>
      <c r="K21" s="14"/>
      <c r="M21" s="14"/>
      <c r="N21" s="14"/>
      <c r="P21" s="14"/>
      <c r="Q21" s="14"/>
    </row>
    <row r="22" spans="1:17" ht="15"/>
  </sheetData>
  <mergeCells count="6">
    <mergeCell ref="D1:E1"/>
    <mergeCell ref="G1:H1"/>
    <mergeCell ref="J1:K1"/>
    <mergeCell ref="P1:Q1"/>
    <mergeCell ref="A1:B1"/>
    <mergeCell ref="M1:N1"/>
  </mergeCells>
  <pageMargins left="0.75" right="0.75" top="1" bottom="1" header="0.5" footer="0.5"/>
  <headerFooter>
    <oddFooter>&amp;C_x000D_&amp;1#&amp;"Aptos"&amp;10&amp;KFFFF00 Ejada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57DF-3721-45C7-8D31-B895FED66651}">
  <sheetPr>
    <tabColor theme="0" tint="-0.499984740745262"/>
  </sheetPr>
  <dimension ref="A1:F180"/>
  <sheetViews>
    <sheetView tabSelected="1" workbookViewId="0">
      <pane ySplit="1" topLeftCell="A144" activePane="bottomLeft" state="frozen"/>
      <selection pane="bottomLeft" activeCell="E153" sqref="E153:E158"/>
    </sheetView>
  </sheetViews>
  <sheetFormatPr defaultRowHeight="15"/>
  <cols>
    <col min="1" max="1" width="11.42578125" bestFit="1" customWidth="1"/>
    <col min="2" max="2" width="58.7109375" customWidth="1"/>
    <col min="3" max="3" width="29.85546875" bestFit="1" customWidth="1"/>
    <col min="4" max="4" width="30.7109375" customWidth="1"/>
    <col min="5" max="5" width="14.140625" bestFit="1" customWidth="1"/>
    <col min="6" max="6" width="11.42578125" bestFit="1" customWidth="1"/>
  </cols>
  <sheetData>
    <row r="1" spans="1:6" s="44" customFormat="1">
      <c r="A1" t="s">
        <v>140</v>
      </c>
      <c r="B1" t="s">
        <v>141</v>
      </c>
      <c r="C1" t="s">
        <v>142</v>
      </c>
      <c r="D1" t="s">
        <v>143</v>
      </c>
      <c r="E1" t="s">
        <v>144</v>
      </c>
      <c r="F1" s="44" t="s">
        <v>145</v>
      </c>
    </row>
    <row r="2" spans="1:6">
      <c r="A2" t="s">
        <v>67</v>
      </c>
      <c r="B2" t="s">
        <v>146</v>
      </c>
      <c r="C2" t="s">
        <v>147</v>
      </c>
      <c r="D2" t="s">
        <v>148</v>
      </c>
      <c r="E2" t="s">
        <v>149</v>
      </c>
      <c r="F2" t="s">
        <v>150</v>
      </c>
    </row>
    <row r="3" spans="1:6">
      <c r="A3" t="s">
        <v>67</v>
      </c>
      <c r="B3" t="s">
        <v>151</v>
      </c>
      <c r="C3" t="s">
        <v>152</v>
      </c>
      <c r="D3" t="s">
        <v>148</v>
      </c>
      <c r="E3" t="s">
        <v>149</v>
      </c>
      <c r="F3" t="s">
        <v>150</v>
      </c>
    </row>
    <row r="4" spans="1:6">
      <c r="A4" t="s">
        <v>67</v>
      </c>
      <c r="B4" t="s">
        <v>153</v>
      </c>
      <c r="C4" t="s">
        <v>154</v>
      </c>
      <c r="D4" t="s">
        <v>155</v>
      </c>
      <c r="E4" t="s">
        <v>149</v>
      </c>
    </row>
    <row r="5" spans="1:6">
      <c r="A5" t="s">
        <v>67</v>
      </c>
      <c r="B5" t="s">
        <v>156</v>
      </c>
      <c r="C5" t="s">
        <v>157</v>
      </c>
      <c r="D5" t="s">
        <v>155</v>
      </c>
      <c r="E5" t="s">
        <v>149</v>
      </c>
    </row>
    <row r="6" spans="1:6">
      <c r="A6" t="s">
        <v>67</v>
      </c>
      <c r="B6" t="s">
        <v>158</v>
      </c>
      <c r="C6" t="s">
        <v>159</v>
      </c>
      <c r="D6" t="s">
        <v>160</v>
      </c>
      <c r="E6" t="s">
        <v>149</v>
      </c>
    </row>
    <row r="7" spans="1:6">
      <c r="A7" t="s">
        <v>67</v>
      </c>
      <c r="B7" t="s">
        <v>161</v>
      </c>
      <c r="C7" t="s">
        <v>162</v>
      </c>
      <c r="D7" t="s">
        <v>160</v>
      </c>
      <c r="E7" t="s">
        <v>149</v>
      </c>
    </row>
    <row r="8" spans="1:6">
      <c r="A8" t="s">
        <v>67</v>
      </c>
      <c r="B8" t="s">
        <v>163</v>
      </c>
      <c r="C8" t="s">
        <v>164</v>
      </c>
      <c r="D8" t="s">
        <v>165</v>
      </c>
      <c r="E8" t="s">
        <v>149</v>
      </c>
    </row>
    <row r="9" spans="1:6">
      <c r="A9" t="s">
        <v>67</v>
      </c>
      <c r="B9" t="s">
        <v>166</v>
      </c>
      <c r="C9" t="s">
        <v>167</v>
      </c>
      <c r="D9" t="s">
        <v>168</v>
      </c>
      <c r="E9" t="s">
        <v>149</v>
      </c>
    </row>
    <row r="10" spans="1:6">
      <c r="A10" t="s">
        <v>67</v>
      </c>
      <c r="B10" t="s">
        <v>169</v>
      </c>
      <c r="C10" t="s">
        <v>170</v>
      </c>
      <c r="D10" t="s">
        <v>171</v>
      </c>
      <c r="E10" t="s">
        <v>149</v>
      </c>
      <c r="F10" t="s">
        <v>150</v>
      </c>
    </row>
    <row r="11" spans="1:6">
      <c r="A11" t="s">
        <v>67</v>
      </c>
      <c r="B11" t="s">
        <v>172</v>
      </c>
      <c r="C11" t="s">
        <v>173</v>
      </c>
      <c r="D11" t="s">
        <v>174</v>
      </c>
      <c r="E11" t="s">
        <v>149</v>
      </c>
    </row>
    <row r="12" spans="1:6">
      <c r="A12" t="s">
        <v>67</v>
      </c>
      <c r="B12" t="s">
        <v>175</v>
      </c>
      <c r="C12" t="s">
        <v>176</v>
      </c>
      <c r="D12" t="s">
        <v>148</v>
      </c>
      <c r="E12" t="s">
        <v>149</v>
      </c>
      <c r="F12" t="s">
        <v>150</v>
      </c>
    </row>
    <row r="13" spans="1:6">
      <c r="A13" t="s">
        <v>67</v>
      </c>
      <c r="B13" t="s">
        <v>177</v>
      </c>
      <c r="C13" t="s">
        <v>178</v>
      </c>
      <c r="D13" t="s">
        <v>179</v>
      </c>
      <c r="E13" t="s">
        <v>149</v>
      </c>
      <c r="F13" t="s">
        <v>150</v>
      </c>
    </row>
    <row r="14" spans="1:6">
      <c r="A14" t="s">
        <v>67</v>
      </c>
      <c r="B14" t="s">
        <v>180</v>
      </c>
      <c r="C14" t="s">
        <v>181</v>
      </c>
      <c r="D14" t="s">
        <v>179</v>
      </c>
      <c r="E14" t="s">
        <v>149</v>
      </c>
      <c r="F14" t="s">
        <v>150</v>
      </c>
    </row>
    <row r="15" spans="1:6">
      <c r="A15" t="s">
        <v>67</v>
      </c>
      <c r="B15" t="s">
        <v>182</v>
      </c>
      <c r="C15" t="s">
        <v>183</v>
      </c>
      <c r="D15" t="s">
        <v>179</v>
      </c>
      <c r="E15" t="s">
        <v>149</v>
      </c>
      <c r="F15" t="s">
        <v>150</v>
      </c>
    </row>
    <row r="16" spans="1:6">
      <c r="A16" t="s">
        <v>67</v>
      </c>
      <c r="B16" t="s">
        <v>184</v>
      </c>
      <c r="C16" t="s">
        <v>185</v>
      </c>
      <c r="D16" t="s">
        <v>179</v>
      </c>
      <c r="E16" t="s">
        <v>149</v>
      </c>
      <c r="F16" t="s">
        <v>150</v>
      </c>
    </row>
    <row r="17" spans="1:6">
      <c r="A17" t="s">
        <v>67</v>
      </c>
      <c r="B17" t="s">
        <v>186</v>
      </c>
      <c r="C17" t="s">
        <v>187</v>
      </c>
      <c r="D17" t="s">
        <v>179</v>
      </c>
      <c r="E17" t="s">
        <v>149</v>
      </c>
      <c r="F17" t="s">
        <v>150</v>
      </c>
    </row>
    <row r="18" spans="1:6">
      <c r="A18" t="s">
        <v>67</v>
      </c>
      <c r="B18" t="s">
        <v>188</v>
      </c>
      <c r="C18" t="s">
        <v>189</v>
      </c>
      <c r="D18" t="s">
        <v>179</v>
      </c>
      <c r="E18" t="s">
        <v>149</v>
      </c>
    </row>
    <row r="19" spans="1:6">
      <c r="A19" t="s">
        <v>67</v>
      </c>
      <c r="B19" t="s">
        <v>190</v>
      </c>
      <c r="C19" t="s">
        <v>191</v>
      </c>
      <c r="D19" t="s">
        <v>179</v>
      </c>
      <c r="E19" t="s">
        <v>149</v>
      </c>
    </row>
    <row r="20" spans="1:6">
      <c r="A20" t="s">
        <v>67</v>
      </c>
      <c r="B20" t="s">
        <v>192</v>
      </c>
      <c r="C20" t="s">
        <v>193</v>
      </c>
      <c r="D20" t="s">
        <v>160</v>
      </c>
      <c r="E20" t="s">
        <v>149</v>
      </c>
    </row>
    <row r="21" spans="1:6">
      <c r="A21" t="s">
        <v>67</v>
      </c>
      <c r="B21" t="s">
        <v>194</v>
      </c>
      <c r="C21" t="s">
        <v>195</v>
      </c>
      <c r="D21" t="s">
        <v>196</v>
      </c>
      <c r="E21" t="s">
        <v>149</v>
      </c>
      <c r="F21" t="s">
        <v>150</v>
      </c>
    </row>
    <row r="22" spans="1:6">
      <c r="A22" t="s">
        <v>67</v>
      </c>
      <c r="B22" t="s">
        <v>197</v>
      </c>
      <c r="C22" t="s">
        <v>198</v>
      </c>
      <c r="D22" t="s">
        <v>179</v>
      </c>
      <c r="E22" t="s">
        <v>149</v>
      </c>
      <c r="F22" t="s">
        <v>150</v>
      </c>
    </row>
    <row r="23" spans="1:6">
      <c r="A23" t="s">
        <v>67</v>
      </c>
      <c r="B23" t="s">
        <v>199</v>
      </c>
      <c r="C23" t="s">
        <v>200</v>
      </c>
      <c r="D23" t="s">
        <v>179</v>
      </c>
      <c r="E23" t="s">
        <v>149</v>
      </c>
      <c r="F23" t="s">
        <v>150</v>
      </c>
    </row>
    <row r="24" spans="1:6">
      <c r="A24" t="s">
        <v>67</v>
      </c>
      <c r="B24" t="s">
        <v>201</v>
      </c>
      <c r="C24" t="s">
        <v>202</v>
      </c>
      <c r="D24" t="s">
        <v>179</v>
      </c>
      <c r="E24" t="s">
        <v>203</v>
      </c>
      <c r="F24" t="s">
        <v>150</v>
      </c>
    </row>
    <row r="25" spans="1:6">
      <c r="A25" t="s">
        <v>67</v>
      </c>
      <c r="B25" t="s">
        <v>204</v>
      </c>
      <c r="C25" t="s">
        <v>205</v>
      </c>
      <c r="D25" t="s">
        <v>179</v>
      </c>
      <c r="E25" t="s">
        <v>149</v>
      </c>
      <c r="F25" t="s">
        <v>150</v>
      </c>
    </row>
    <row r="26" spans="1:6">
      <c r="A26" t="s">
        <v>67</v>
      </c>
      <c r="B26" t="s">
        <v>206</v>
      </c>
      <c r="C26" t="s">
        <v>207</v>
      </c>
      <c r="D26" t="s">
        <v>179</v>
      </c>
      <c r="E26" t="s">
        <v>149</v>
      </c>
    </row>
    <row r="27" spans="1:6">
      <c r="A27" t="s">
        <v>67</v>
      </c>
      <c r="B27" t="s">
        <v>208</v>
      </c>
      <c r="C27" t="s">
        <v>209</v>
      </c>
      <c r="D27" t="s">
        <v>179</v>
      </c>
      <c r="E27" t="s">
        <v>149</v>
      </c>
    </row>
    <row r="28" spans="1:6">
      <c r="A28" t="s">
        <v>67</v>
      </c>
      <c r="B28" t="s">
        <v>210</v>
      </c>
      <c r="C28" t="s">
        <v>211</v>
      </c>
      <c r="D28" t="s">
        <v>179</v>
      </c>
      <c r="E28" t="s">
        <v>149</v>
      </c>
    </row>
    <row r="29" spans="1:6">
      <c r="A29" t="s">
        <v>67</v>
      </c>
      <c r="B29" t="s">
        <v>212</v>
      </c>
      <c r="C29" t="s">
        <v>213</v>
      </c>
      <c r="D29" t="s">
        <v>179</v>
      </c>
      <c r="E29" t="s">
        <v>149</v>
      </c>
    </row>
    <row r="30" spans="1:6">
      <c r="A30" t="s">
        <v>67</v>
      </c>
      <c r="B30" t="s">
        <v>214</v>
      </c>
      <c r="C30" t="s">
        <v>215</v>
      </c>
      <c r="D30" t="s">
        <v>179</v>
      </c>
      <c r="E30" t="s">
        <v>149</v>
      </c>
    </row>
    <row r="31" spans="1:6">
      <c r="A31" t="s">
        <v>67</v>
      </c>
      <c r="B31" t="s">
        <v>216</v>
      </c>
      <c r="C31" t="s">
        <v>217</v>
      </c>
      <c r="D31" t="s">
        <v>218</v>
      </c>
      <c r="E31" t="s">
        <v>149</v>
      </c>
      <c r="F31" t="s">
        <v>150</v>
      </c>
    </row>
    <row r="32" spans="1:6">
      <c r="A32" t="s">
        <v>67</v>
      </c>
      <c r="B32" t="s">
        <v>219</v>
      </c>
      <c r="C32" t="s">
        <v>220</v>
      </c>
      <c r="D32" t="s">
        <v>179</v>
      </c>
      <c r="E32" t="s">
        <v>149</v>
      </c>
      <c r="F32" t="s">
        <v>150</v>
      </c>
    </row>
    <row r="33" spans="1:6">
      <c r="A33" t="s">
        <v>67</v>
      </c>
      <c r="B33" t="s">
        <v>221</v>
      </c>
      <c r="C33" t="s">
        <v>222</v>
      </c>
      <c r="D33" t="s">
        <v>179</v>
      </c>
      <c r="E33" t="s">
        <v>149</v>
      </c>
      <c r="F33" t="s">
        <v>150</v>
      </c>
    </row>
    <row r="34" spans="1:6">
      <c r="A34" t="s">
        <v>67</v>
      </c>
      <c r="B34" t="s">
        <v>223</v>
      </c>
      <c r="C34" t="s">
        <v>224</v>
      </c>
      <c r="D34" t="s">
        <v>179</v>
      </c>
      <c r="E34" t="s">
        <v>149</v>
      </c>
      <c r="F34" t="s">
        <v>150</v>
      </c>
    </row>
    <row r="35" spans="1:6">
      <c r="A35" t="s">
        <v>67</v>
      </c>
      <c r="B35" t="s">
        <v>225</v>
      </c>
      <c r="C35" t="s">
        <v>226</v>
      </c>
      <c r="D35" t="s">
        <v>196</v>
      </c>
      <c r="E35" t="s">
        <v>149</v>
      </c>
      <c r="F35" t="s">
        <v>150</v>
      </c>
    </row>
    <row r="36" spans="1:6">
      <c r="A36" t="s">
        <v>67</v>
      </c>
      <c r="B36" t="s">
        <v>227</v>
      </c>
      <c r="C36" t="s">
        <v>228</v>
      </c>
      <c r="D36" t="s">
        <v>179</v>
      </c>
      <c r="E36" t="s">
        <v>149</v>
      </c>
      <c r="F36" t="s">
        <v>150</v>
      </c>
    </row>
    <row r="37" spans="1:6">
      <c r="A37" t="s">
        <v>67</v>
      </c>
      <c r="B37" t="s">
        <v>229</v>
      </c>
      <c r="C37" t="s">
        <v>230</v>
      </c>
      <c r="D37" t="s">
        <v>179</v>
      </c>
      <c r="E37" t="s">
        <v>149</v>
      </c>
      <c r="F37" t="s">
        <v>150</v>
      </c>
    </row>
    <row r="38" spans="1:6">
      <c r="A38" t="s">
        <v>67</v>
      </c>
      <c r="B38" t="s">
        <v>231</v>
      </c>
      <c r="C38" t="s">
        <v>232</v>
      </c>
      <c r="D38" t="s">
        <v>179</v>
      </c>
      <c r="E38" t="s">
        <v>149</v>
      </c>
      <c r="F38" t="s">
        <v>150</v>
      </c>
    </row>
    <row r="39" spans="1:6">
      <c r="A39" t="s">
        <v>67</v>
      </c>
      <c r="B39" t="s">
        <v>233</v>
      </c>
      <c r="C39" t="s">
        <v>234</v>
      </c>
      <c r="D39" t="s">
        <v>179</v>
      </c>
      <c r="E39" t="s">
        <v>149</v>
      </c>
      <c r="F39" t="s">
        <v>150</v>
      </c>
    </row>
    <row r="40" spans="1:6">
      <c r="A40" t="s">
        <v>67</v>
      </c>
      <c r="B40" t="s">
        <v>235</v>
      </c>
      <c r="C40" t="s">
        <v>236</v>
      </c>
      <c r="D40" t="s">
        <v>179</v>
      </c>
      <c r="E40" t="s">
        <v>149</v>
      </c>
      <c r="F40" t="s">
        <v>150</v>
      </c>
    </row>
    <row r="41" spans="1:6">
      <c r="A41" t="s">
        <v>67</v>
      </c>
      <c r="B41" t="s">
        <v>237</v>
      </c>
      <c r="C41" t="s">
        <v>238</v>
      </c>
      <c r="D41" t="s">
        <v>179</v>
      </c>
      <c r="E41" t="s">
        <v>149</v>
      </c>
      <c r="F41" t="s">
        <v>150</v>
      </c>
    </row>
    <row r="42" spans="1:6">
      <c r="A42" t="s">
        <v>67</v>
      </c>
      <c r="B42" t="s">
        <v>239</v>
      </c>
      <c r="C42" t="s">
        <v>240</v>
      </c>
      <c r="D42" t="s">
        <v>179</v>
      </c>
      <c r="E42" t="s">
        <v>149</v>
      </c>
      <c r="F42" t="s">
        <v>150</v>
      </c>
    </row>
    <row r="43" spans="1:6">
      <c r="A43" t="s">
        <v>241</v>
      </c>
      <c r="B43" t="s">
        <v>242</v>
      </c>
      <c r="C43" t="s">
        <v>243</v>
      </c>
      <c r="D43" t="s">
        <v>196</v>
      </c>
      <c r="E43" t="s">
        <v>149</v>
      </c>
    </row>
    <row r="44" spans="1:6">
      <c r="A44" t="s">
        <v>39</v>
      </c>
      <c r="B44" t="s">
        <v>244</v>
      </c>
      <c r="C44" t="s">
        <v>245</v>
      </c>
      <c r="D44" t="s">
        <v>246</v>
      </c>
      <c r="E44" t="s">
        <v>149</v>
      </c>
    </row>
    <row r="45" spans="1:6">
      <c r="A45" t="s">
        <v>39</v>
      </c>
      <c r="B45" t="s">
        <v>247</v>
      </c>
      <c r="C45" t="s">
        <v>248</v>
      </c>
      <c r="D45" t="s">
        <v>249</v>
      </c>
      <c r="E45" t="s">
        <v>149</v>
      </c>
    </row>
    <row r="46" spans="1:6">
      <c r="A46" t="s">
        <v>39</v>
      </c>
      <c r="B46" t="s">
        <v>250</v>
      </c>
      <c r="C46" t="s">
        <v>251</v>
      </c>
      <c r="D46" t="s">
        <v>252</v>
      </c>
      <c r="E46" t="s">
        <v>149</v>
      </c>
    </row>
    <row r="47" spans="1:6">
      <c r="A47" t="s">
        <v>253</v>
      </c>
      <c r="B47" t="s">
        <v>29</v>
      </c>
      <c r="C47" t="s">
        <v>254</v>
      </c>
      <c r="D47" t="s">
        <v>255</v>
      </c>
      <c r="E47" t="s">
        <v>149</v>
      </c>
    </row>
    <row r="48" spans="1:6">
      <c r="A48" t="s">
        <v>253</v>
      </c>
      <c r="B48" t="s">
        <v>256</v>
      </c>
      <c r="C48" t="s">
        <v>257</v>
      </c>
      <c r="D48" t="s">
        <v>258</v>
      </c>
      <c r="E48" t="s">
        <v>149</v>
      </c>
    </row>
    <row r="49" spans="1:5">
      <c r="A49" t="s">
        <v>253</v>
      </c>
      <c r="B49" t="s">
        <v>259</v>
      </c>
      <c r="C49" t="s">
        <v>260</v>
      </c>
      <c r="D49" t="s">
        <v>261</v>
      </c>
      <c r="E49" t="s">
        <v>149</v>
      </c>
    </row>
    <row r="50" spans="1:5">
      <c r="A50" t="s">
        <v>253</v>
      </c>
      <c r="B50" t="s">
        <v>262</v>
      </c>
      <c r="C50" t="s">
        <v>263</v>
      </c>
      <c r="D50" t="s">
        <v>264</v>
      </c>
      <c r="E50" t="s">
        <v>149</v>
      </c>
    </row>
    <row r="51" spans="1:5">
      <c r="A51" t="s">
        <v>253</v>
      </c>
      <c r="B51" t="s">
        <v>265</v>
      </c>
      <c r="C51" t="s">
        <v>266</v>
      </c>
      <c r="D51" t="s">
        <v>264</v>
      </c>
      <c r="E51" t="s">
        <v>149</v>
      </c>
    </row>
    <row r="52" spans="1:5">
      <c r="A52" t="s">
        <v>253</v>
      </c>
      <c r="B52" t="s">
        <v>267</v>
      </c>
      <c r="C52" t="s">
        <v>268</v>
      </c>
      <c r="D52" t="s">
        <v>261</v>
      </c>
      <c r="E52" t="s">
        <v>149</v>
      </c>
    </row>
    <row r="53" spans="1:5">
      <c r="A53" t="s">
        <v>253</v>
      </c>
      <c r="B53" t="s">
        <v>269</v>
      </c>
      <c r="C53" t="s">
        <v>270</v>
      </c>
      <c r="D53" t="s">
        <v>271</v>
      </c>
      <c r="E53" t="s">
        <v>149</v>
      </c>
    </row>
    <row r="54" spans="1:5">
      <c r="A54" t="s">
        <v>253</v>
      </c>
      <c r="B54" t="s">
        <v>272</v>
      </c>
      <c r="C54" t="s">
        <v>273</v>
      </c>
      <c r="D54" t="s">
        <v>274</v>
      </c>
      <c r="E54" t="s">
        <v>149</v>
      </c>
    </row>
    <row r="55" spans="1:5">
      <c r="A55" t="s">
        <v>253</v>
      </c>
      <c r="B55" t="s">
        <v>275</v>
      </c>
      <c r="C55" t="s">
        <v>276</v>
      </c>
      <c r="D55" t="s">
        <v>264</v>
      </c>
      <c r="E55" t="s">
        <v>149</v>
      </c>
    </row>
    <row r="56" spans="1:5">
      <c r="A56" t="s">
        <v>253</v>
      </c>
      <c r="B56" t="s">
        <v>277</v>
      </c>
      <c r="C56" t="s">
        <v>278</v>
      </c>
      <c r="D56" t="s">
        <v>264</v>
      </c>
      <c r="E56" t="s">
        <v>149</v>
      </c>
    </row>
    <row r="57" spans="1:5">
      <c r="A57" t="s">
        <v>253</v>
      </c>
      <c r="B57" t="s">
        <v>279</v>
      </c>
      <c r="C57" t="s">
        <v>280</v>
      </c>
      <c r="D57" t="s">
        <v>264</v>
      </c>
      <c r="E57" t="s">
        <v>149</v>
      </c>
    </row>
    <row r="58" spans="1:5">
      <c r="A58" t="s">
        <v>253</v>
      </c>
      <c r="B58" t="s">
        <v>281</v>
      </c>
      <c r="C58" t="s">
        <v>282</v>
      </c>
      <c r="D58" t="s">
        <v>264</v>
      </c>
      <c r="E58" t="s">
        <v>149</v>
      </c>
    </row>
    <row r="59" spans="1:5">
      <c r="A59" t="s">
        <v>253</v>
      </c>
      <c r="B59" t="s">
        <v>283</v>
      </c>
      <c r="C59" t="s">
        <v>284</v>
      </c>
      <c r="D59" t="s">
        <v>285</v>
      </c>
      <c r="E59" t="s">
        <v>149</v>
      </c>
    </row>
    <row r="60" spans="1:5">
      <c r="A60" t="s">
        <v>253</v>
      </c>
      <c r="B60" t="s">
        <v>286</v>
      </c>
      <c r="C60" t="s">
        <v>287</v>
      </c>
      <c r="D60" t="s">
        <v>288</v>
      </c>
      <c r="E60" t="s">
        <v>149</v>
      </c>
    </row>
    <row r="61" spans="1:5">
      <c r="A61" t="s">
        <v>253</v>
      </c>
      <c r="B61" t="s">
        <v>289</v>
      </c>
      <c r="C61" t="s">
        <v>290</v>
      </c>
      <c r="D61" t="s">
        <v>264</v>
      </c>
      <c r="E61" t="s">
        <v>149</v>
      </c>
    </row>
    <row r="62" spans="1:5">
      <c r="A62" t="s">
        <v>253</v>
      </c>
      <c r="B62" t="s">
        <v>291</v>
      </c>
      <c r="C62" t="s">
        <v>292</v>
      </c>
      <c r="D62" t="s">
        <v>264</v>
      </c>
      <c r="E62" t="s">
        <v>149</v>
      </c>
    </row>
    <row r="63" spans="1:5">
      <c r="A63" t="s">
        <v>253</v>
      </c>
      <c r="B63" t="s">
        <v>293</v>
      </c>
      <c r="C63" t="s">
        <v>294</v>
      </c>
      <c r="D63" t="s">
        <v>264</v>
      </c>
      <c r="E63" t="s">
        <v>149</v>
      </c>
    </row>
    <row r="64" spans="1:5">
      <c r="A64" t="s">
        <v>253</v>
      </c>
      <c r="B64" t="s">
        <v>295</v>
      </c>
      <c r="C64" t="s">
        <v>296</v>
      </c>
      <c r="D64" t="s">
        <v>264</v>
      </c>
      <c r="E64" t="s">
        <v>149</v>
      </c>
    </row>
    <row r="65" spans="1:5">
      <c r="A65" t="s">
        <v>253</v>
      </c>
      <c r="B65" t="s">
        <v>297</v>
      </c>
      <c r="C65" t="s">
        <v>298</v>
      </c>
      <c r="D65" t="s">
        <v>264</v>
      </c>
      <c r="E65" t="s">
        <v>149</v>
      </c>
    </row>
    <row r="66" spans="1:5">
      <c r="A66" t="s">
        <v>253</v>
      </c>
      <c r="B66" t="s">
        <v>299</v>
      </c>
      <c r="C66" t="s">
        <v>300</v>
      </c>
      <c r="D66" t="s">
        <v>264</v>
      </c>
      <c r="E66" t="s">
        <v>149</v>
      </c>
    </row>
    <row r="67" spans="1:5">
      <c r="A67" t="s">
        <v>253</v>
      </c>
      <c r="B67" t="s">
        <v>301</v>
      </c>
      <c r="C67" t="s">
        <v>302</v>
      </c>
      <c r="D67" t="s">
        <v>303</v>
      </c>
      <c r="E67" t="s">
        <v>149</v>
      </c>
    </row>
    <row r="68" spans="1:5">
      <c r="A68" t="s">
        <v>253</v>
      </c>
      <c r="B68" t="s">
        <v>304</v>
      </c>
      <c r="C68" t="s">
        <v>305</v>
      </c>
      <c r="D68" t="s">
        <v>303</v>
      </c>
      <c r="E68" t="s">
        <v>149</v>
      </c>
    </row>
    <row r="69" spans="1:5">
      <c r="A69" t="s">
        <v>253</v>
      </c>
      <c r="B69" t="s">
        <v>306</v>
      </c>
      <c r="C69" t="s">
        <v>307</v>
      </c>
      <c r="D69" t="s">
        <v>308</v>
      </c>
      <c r="E69" t="s">
        <v>149</v>
      </c>
    </row>
    <row r="70" spans="1:5">
      <c r="A70" t="s">
        <v>253</v>
      </c>
      <c r="B70" t="s">
        <v>309</v>
      </c>
      <c r="C70" t="s">
        <v>310</v>
      </c>
      <c r="D70" t="s">
        <v>274</v>
      </c>
      <c r="E70" t="s">
        <v>149</v>
      </c>
    </row>
    <row r="71" spans="1:5">
      <c r="A71" t="s">
        <v>253</v>
      </c>
      <c r="B71" t="s">
        <v>311</v>
      </c>
      <c r="C71" t="s">
        <v>312</v>
      </c>
      <c r="D71" t="s">
        <v>313</v>
      </c>
      <c r="E71" t="s">
        <v>149</v>
      </c>
    </row>
    <row r="72" spans="1:5">
      <c r="A72" t="s">
        <v>253</v>
      </c>
      <c r="B72" t="s">
        <v>314</v>
      </c>
      <c r="C72" t="s">
        <v>315</v>
      </c>
      <c r="D72" t="s">
        <v>303</v>
      </c>
      <c r="E72" t="s">
        <v>149</v>
      </c>
    </row>
    <row r="73" spans="1:5">
      <c r="A73" t="s">
        <v>253</v>
      </c>
      <c r="B73" t="s">
        <v>316</v>
      </c>
      <c r="C73" t="s">
        <v>317</v>
      </c>
      <c r="D73" t="s">
        <v>308</v>
      </c>
      <c r="E73" t="s">
        <v>149</v>
      </c>
    </row>
    <row r="74" spans="1:5">
      <c r="A74" t="s">
        <v>253</v>
      </c>
      <c r="B74" t="s">
        <v>318</v>
      </c>
      <c r="C74" t="s">
        <v>319</v>
      </c>
      <c r="D74" t="s">
        <v>320</v>
      </c>
      <c r="E74" t="s">
        <v>149</v>
      </c>
    </row>
    <row r="75" spans="1:5">
      <c r="A75" t="s">
        <v>253</v>
      </c>
      <c r="B75" t="s">
        <v>321</v>
      </c>
      <c r="C75" t="s">
        <v>322</v>
      </c>
      <c r="D75" t="s">
        <v>261</v>
      </c>
      <c r="E75" t="s">
        <v>149</v>
      </c>
    </row>
    <row r="76" spans="1:5">
      <c r="A76" t="s">
        <v>253</v>
      </c>
      <c r="B76" t="s">
        <v>323</v>
      </c>
      <c r="C76" t="s">
        <v>324</v>
      </c>
      <c r="D76" t="s">
        <v>325</v>
      </c>
      <c r="E76" t="s">
        <v>149</v>
      </c>
    </row>
    <row r="77" spans="1:5">
      <c r="A77" t="s">
        <v>253</v>
      </c>
      <c r="B77" t="s">
        <v>326</v>
      </c>
      <c r="C77" t="s">
        <v>327</v>
      </c>
      <c r="D77" t="s">
        <v>325</v>
      </c>
      <c r="E77" t="s">
        <v>149</v>
      </c>
    </row>
    <row r="78" spans="1:5">
      <c r="A78" t="s">
        <v>253</v>
      </c>
      <c r="B78" t="s">
        <v>328</v>
      </c>
      <c r="C78" t="s">
        <v>329</v>
      </c>
      <c r="D78" t="s">
        <v>325</v>
      </c>
      <c r="E78" t="s">
        <v>149</v>
      </c>
    </row>
    <row r="79" spans="1:5">
      <c r="A79" t="s">
        <v>253</v>
      </c>
      <c r="B79" t="s">
        <v>330</v>
      </c>
      <c r="C79" t="s">
        <v>331</v>
      </c>
      <c r="D79" t="s">
        <v>271</v>
      </c>
      <c r="E79" t="s">
        <v>149</v>
      </c>
    </row>
    <row r="80" spans="1:5">
      <c r="A80" t="s">
        <v>253</v>
      </c>
      <c r="B80" t="s">
        <v>332</v>
      </c>
      <c r="C80" t="s">
        <v>333</v>
      </c>
      <c r="D80" t="s">
        <v>271</v>
      </c>
      <c r="E80" t="s">
        <v>149</v>
      </c>
    </row>
    <row r="81" spans="1:5">
      <c r="A81" t="s">
        <v>253</v>
      </c>
      <c r="B81" t="s">
        <v>334</v>
      </c>
      <c r="C81" t="s">
        <v>335</v>
      </c>
      <c r="D81" t="s">
        <v>325</v>
      </c>
      <c r="E81" t="s">
        <v>149</v>
      </c>
    </row>
    <row r="82" spans="1:5">
      <c r="A82" t="s">
        <v>253</v>
      </c>
      <c r="B82" t="s">
        <v>336</v>
      </c>
      <c r="C82" t="s">
        <v>337</v>
      </c>
      <c r="D82" t="s">
        <v>325</v>
      </c>
      <c r="E82" t="s">
        <v>149</v>
      </c>
    </row>
    <row r="83" spans="1:5">
      <c r="A83" t="s">
        <v>253</v>
      </c>
      <c r="B83" t="s">
        <v>338</v>
      </c>
      <c r="C83" t="s">
        <v>339</v>
      </c>
      <c r="D83" t="s">
        <v>340</v>
      </c>
      <c r="E83" t="s">
        <v>149</v>
      </c>
    </row>
    <row r="84" spans="1:5">
      <c r="A84" t="s">
        <v>253</v>
      </c>
      <c r="B84" t="s">
        <v>341</v>
      </c>
      <c r="C84" t="s">
        <v>342</v>
      </c>
      <c r="D84" t="s">
        <v>325</v>
      </c>
      <c r="E84" t="s">
        <v>149</v>
      </c>
    </row>
    <row r="85" spans="1:5">
      <c r="A85" t="s">
        <v>253</v>
      </c>
      <c r="B85" t="s">
        <v>343</v>
      </c>
      <c r="C85" t="s">
        <v>344</v>
      </c>
      <c r="D85" t="s">
        <v>274</v>
      </c>
      <c r="E85" t="s">
        <v>149</v>
      </c>
    </row>
    <row r="86" spans="1:5">
      <c r="A86" t="s">
        <v>253</v>
      </c>
      <c r="B86" t="s">
        <v>345</v>
      </c>
      <c r="C86" t="s">
        <v>346</v>
      </c>
      <c r="D86" t="s">
        <v>274</v>
      </c>
      <c r="E86" t="s">
        <v>149</v>
      </c>
    </row>
    <row r="87" spans="1:5">
      <c r="A87" t="s">
        <v>253</v>
      </c>
      <c r="B87" t="s">
        <v>347</v>
      </c>
      <c r="C87" t="s">
        <v>348</v>
      </c>
      <c r="D87" t="s">
        <v>274</v>
      </c>
      <c r="E87" t="s">
        <v>149</v>
      </c>
    </row>
    <row r="88" spans="1:5">
      <c r="A88" t="s">
        <v>253</v>
      </c>
      <c r="B88" t="s">
        <v>349</v>
      </c>
      <c r="C88" t="s">
        <v>350</v>
      </c>
      <c r="D88" t="s">
        <v>271</v>
      </c>
      <c r="E88" t="s">
        <v>149</v>
      </c>
    </row>
    <row r="89" spans="1:5">
      <c r="A89" t="s">
        <v>253</v>
      </c>
      <c r="B89" t="s">
        <v>351</v>
      </c>
      <c r="C89" t="s">
        <v>352</v>
      </c>
      <c r="D89" t="s">
        <v>313</v>
      </c>
      <c r="E89" t="s">
        <v>149</v>
      </c>
    </row>
    <row r="90" spans="1:5">
      <c r="A90" t="s">
        <v>253</v>
      </c>
      <c r="B90" t="s">
        <v>353</v>
      </c>
      <c r="C90" t="s">
        <v>354</v>
      </c>
      <c r="D90" t="s">
        <v>325</v>
      </c>
      <c r="E90" t="s">
        <v>149</v>
      </c>
    </row>
    <row r="91" spans="1:5">
      <c r="A91" t="s">
        <v>253</v>
      </c>
      <c r="B91" t="s">
        <v>355</v>
      </c>
      <c r="C91" t="s">
        <v>356</v>
      </c>
      <c r="D91" t="s">
        <v>313</v>
      </c>
      <c r="E91" t="s">
        <v>149</v>
      </c>
    </row>
    <row r="92" spans="1:5">
      <c r="A92" t="s">
        <v>253</v>
      </c>
      <c r="B92" t="s">
        <v>357</v>
      </c>
      <c r="C92" t="s">
        <v>358</v>
      </c>
      <c r="D92" t="s">
        <v>303</v>
      </c>
      <c r="E92" t="s">
        <v>149</v>
      </c>
    </row>
    <row r="93" spans="1:5">
      <c r="A93" t="s">
        <v>253</v>
      </c>
      <c r="B93" t="s">
        <v>359</v>
      </c>
      <c r="C93" t="s">
        <v>360</v>
      </c>
      <c r="D93" t="s">
        <v>313</v>
      </c>
      <c r="E93" t="s">
        <v>149</v>
      </c>
    </row>
    <row r="94" spans="1:5">
      <c r="A94" t="s">
        <v>253</v>
      </c>
      <c r="B94" t="s">
        <v>361</v>
      </c>
      <c r="C94" t="s">
        <v>362</v>
      </c>
      <c r="D94" t="s">
        <v>325</v>
      </c>
      <c r="E94" t="s">
        <v>149</v>
      </c>
    </row>
    <row r="95" spans="1:5">
      <c r="A95" t="s">
        <v>253</v>
      </c>
      <c r="B95" t="s">
        <v>363</v>
      </c>
      <c r="C95" t="s">
        <v>364</v>
      </c>
      <c r="D95" t="s">
        <v>325</v>
      </c>
      <c r="E95" t="s">
        <v>149</v>
      </c>
    </row>
    <row r="96" spans="1:5">
      <c r="A96" t="s">
        <v>253</v>
      </c>
      <c r="B96" t="s">
        <v>365</v>
      </c>
      <c r="C96" t="s">
        <v>366</v>
      </c>
      <c r="D96" t="s">
        <v>271</v>
      </c>
      <c r="E96" t="s">
        <v>149</v>
      </c>
    </row>
    <row r="97" spans="1:5">
      <c r="A97" t="s">
        <v>253</v>
      </c>
      <c r="B97" t="s">
        <v>367</v>
      </c>
      <c r="C97" t="s">
        <v>368</v>
      </c>
      <c r="D97" t="s">
        <v>325</v>
      </c>
      <c r="E97" t="s">
        <v>149</v>
      </c>
    </row>
    <row r="98" spans="1:5">
      <c r="A98" t="s">
        <v>253</v>
      </c>
      <c r="B98" t="s">
        <v>369</v>
      </c>
      <c r="C98" t="s">
        <v>370</v>
      </c>
      <c r="D98" t="s">
        <v>340</v>
      </c>
      <c r="E98" t="s">
        <v>149</v>
      </c>
    </row>
    <row r="99" spans="1:5">
      <c r="A99" t="s">
        <v>253</v>
      </c>
      <c r="B99" t="s">
        <v>371</v>
      </c>
      <c r="C99" t="s">
        <v>372</v>
      </c>
      <c r="D99" t="s">
        <v>264</v>
      </c>
      <c r="E99" t="s">
        <v>149</v>
      </c>
    </row>
    <row r="100" spans="1:5">
      <c r="A100" t="s">
        <v>253</v>
      </c>
      <c r="B100" t="s">
        <v>373</v>
      </c>
      <c r="C100" t="s">
        <v>374</v>
      </c>
      <c r="D100" t="s">
        <v>274</v>
      </c>
      <c r="E100" t="s">
        <v>149</v>
      </c>
    </row>
    <row r="101" spans="1:5">
      <c r="A101" t="s">
        <v>253</v>
      </c>
      <c r="B101" t="s">
        <v>375</v>
      </c>
      <c r="C101" t="s">
        <v>376</v>
      </c>
      <c r="D101" t="s">
        <v>313</v>
      </c>
      <c r="E101" t="s">
        <v>149</v>
      </c>
    </row>
    <row r="102" spans="1:5">
      <c r="A102" t="s">
        <v>253</v>
      </c>
      <c r="B102" t="s">
        <v>377</v>
      </c>
      <c r="C102" t="s">
        <v>378</v>
      </c>
      <c r="D102" t="s">
        <v>271</v>
      </c>
      <c r="E102" t="s">
        <v>149</v>
      </c>
    </row>
    <row r="103" spans="1:5">
      <c r="A103" t="s">
        <v>253</v>
      </c>
      <c r="B103" t="s">
        <v>379</v>
      </c>
      <c r="C103" t="s">
        <v>380</v>
      </c>
      <c r="D103" t="s">
        <v>381</v>
      </c>
      <c r="E103" t="s">
        <v>149</v>
      </c>
    </row>
    <row r="104" spans="1:5">
      <c r="A104" t="s">
        <v>253</v>
      </c>
      <c r="B104" t="s">
        <v>382</v>
      </c>
      <c r="C104" t="s">
        <v>383</v>
      </c>
      <c r="D104" t="s">
        <v>381</v>
      </c>
      <c r="E104" t="s">
        <v>149</v>
      </c>
    </row>
    <row r="105" spans="1:5">
      <c r="A105" t="s">
        <v>253</v>
      </c>
      <c r="B105" t="s">
        <v>384</v>
      </c>
      <c r="C105" t="s">
        <v>385</v>
      </c>
      <c r="D105" t="s">
        <v>381</v>
      </c>
      <c r="E105" t="s">
        <v>149</v>
      </c>
    </row>
    <row r="106" spans="1:5">
      <c r="A106" t="s">
        <v>253</v>
      </c>
      <c r="B106" t="s">
        <v>386</v>
      </c>
      <c r="C106" t="s">
        <v>387</v>
      </c>
      <c r="D106" t="s">
        <v>388</v>
      </c>
      <c r="E106" t="s">
        <v>149</v>
      </c>
    </row>
    <row r="107" spans="1:5">
      <c r="A107" t="s">
        <v>253</v>
      </c>
      <c r="B107" t="s">
        <v>389</v>
      </c>
      <c r="C107" t="s">
        <v>390</v>
      </c>
      <c r="D107" t="s">
        <v>388</v>
      </c>
      <c r="E107" t="s">
        <v>149</v>
      </c>
    </row>
    <row r="108" spans="1:5">
      <c r="A108" t="s">
        <v>253</v>
      </c>
      <c r="B108" t="s">
        <v>391</v>
      </c>
      <c r="C108" t="s">
        <v>392</v>
      </c>
      <c r="D108" t="s">
        <v>313</v>
      </c>
      <c r="E108" t="s">
        <v>149</v>
      </c>
    </row>
    <row r="109" spans="1:5">
      <c r="A109" t="s">
        <v>253</v>
      </c>
      <c r="B109" t="s">
        <v>393</v>
      </c>
      <c r="C109" t="s">
        <v>394</v>
      </c>
      <c r="D109" t="s">
        <v>179</v>
      </c>
      <c r="E109" t="s">
        <v>149</v>
      </c>
    </row>
    <row r="110" spans="1:5">
      <c r="A110" t="s">
        <v>253</v>
      </c>
      <c r="B110" t="s">
        <v>395</v>
      </c>
      <c r="C110" t="s">
        <v>396</v>
      </c>
      <c r="D110" t="s">
        <v>179</v>
      </c>
      <c r="E110" t="s">
        <v>149</v>
      </c>
    </row>
    <row r="111" spans="1:5">
      <c r="A111" t="s">
        <v>253</v>
      </c>
      <c r="B111" t="s">
        <v>397</v>
      </c>
      <c r="C111" t="s">
        <v>398</v>
      </c>
      <c r="D111" t="s">
        <v>179</v>
      </c>
      <c r="E111" t="s">
        <v>149</v>
      </c>
    </row>
    <row r="112" spans="1:5">
      <c r="A112" t="s">
        <v>253</v>
      </c>
      <c r="B112" t="s">
        <v>399</v>
      </c>
      <c r="C112" t="s">
        <v>400</v>
      </c>
      <c r="D112" t="s">
        <v>179</v>
      </c>
      <c r="E112" t="s">
        <v>149</v>
      </c>
    </row>
    <row r="113" spans="1:5">
      <c r="A113" t="s">
        <v>253</v>
      </c>
      <c r="B113" t="s">
        <v>401</v>
      </c>
      <c r="C113" t="s">
        <v>402</v>
      </c>
      <c r="D113" t="s">
        <v>179</v>
      </c>
      <c r="E113" t="s">
        <v>149</v>
      </c>
    </row>
    <row r="114" spans="1:5">
      <c r="A114" t="s">
        <v>253</v>
      </c>
      <c r="B114" t="s">
        <v>403</v>
      </c>
      <c r="C114" t="s">
        <v>404</v>
      </c>
      <c r="D114" t="s">
        <v>405</v>
      </c>
      <c r="E114" t="s">
        <v>149</v>
      </c>
    </row>
    <row r="115" spans="1:5">
      <c r="A115" t="s">
        <v>253</v>
      </c>
      <c r="B115" t="s">
        <v>406</v>
      </c>
      <c r="C115" t="s">
        <v>254</v>
      </c>
      <c r="D115" t="s">
        <v>407</v>
      </c>
      <c r="E115" t="s">
        <v>149</v>
      </c>
    </row>
    <row r="116" spans="1:5">
      <c r="A116" t="s">
        <v>253</v>
      </c>
      <c r="B116" t="s">
        <v>408</v>
      </c>
      <c r="C116" t="s">
        <v>409</v>
      </c>
      <c r="D116" t="s">
        <v>410</v>
      </c>
      <c r="E116" t="s">
        <v>149</v>
      </c>
    </row>
    <row r="117" spans="1:5">
      <c r="A117" t="s">
        <v>253</v>
      </c>
      <c r="B117" t="s">
        <v>411</v>
      </c>
      <c r="C117" t="s">
        <v>412</v>
      </c>
      <c r="D117" t="s">
        <v>413</v>
      </c>
      <c r="E117" t="s">
        <v>149</v>
      </c>
    </row>
    <row r="118" spans="1:5">
      <c r="A118" t="s">
        <v>253</v>
      </c>
      <c r="B118" t="s">
        <v>414</v>
      </c>
      <c r="C118" t="s">
        <v>415</v>
      </c>
      <c r="D118" t="s">
        <v>320</v>
      </c>
      <c r="E118" t="s">
        <v>149</v>
      </c>
    </row>
    <row r="119" spans="1:5">
      <c r="A119" t="s">
        <v>253</v>
      </c>
      <c r="B119" t="s">
        <v>416</v>
      </c>
      <c r="C119" t="s">
        <v>417</v>
      </c>
      <c r="D119" t="s">
        <v>340</v>
      </c>
      <c r="E119" t="s">
        <v>149</v>
      </c>
    </row>
    <row r="120" spans="1:5">
      <c r="A120" t="s">
        <v>253</v>
      </c>
      <c r="B120" t="s">
        <v>418</v>
      </c>
      <c r="C120" t="s">
        <v>419</v>
      </c>
      <c r="D120" t="s">
        <v>420</v>
      </c>
      <c r="E120" t="s">
        <v>149</v>
      </c>
    </row>
    <row r="121" spans="1:5">
      <c r="A121" t="s">
        <v>253</v>
      </c>
      <c r="B121" t="s">
        <v>421</v>
      </c>
      <c r="C121" t="s">
        <v>422</v>
      </c>
      <c r="D121" t="s">
        <v>423</v>
      </c>
      <c r="E121" t="s">
        <v>149</v>
      </c>
    </row>
    <row r="122" spans="1:5">
      <c r="A122" t="s">
        <v>253</v>
      </c>
      <c r="B122" t="s">
        <v>424</v>
      </c>
      <c r="C122" t="s">
        <v>425</v>
      </c>
      <c r="D122" t="s">
        <v>340</v>
      </c>
      <c r="E122" t="s">
        <v>149</v>
      </c>
    </row>
    <row r="123" spans="1:5">
      <c r="A123" t="s">
        <v>253</v>
      </c>
      <c r="B123" t="s">
        <v>426</v>
      </c>
      <c r="C123" t="s">
        <v>427</v>
      </c>
      <c r="D123" t="s">
        <v>340</v>
      </c>
      <c r="E123" t="s">
        <v>149</v>
      </c>
    </row>
    <row r="124" spans="1:5">
      <c r="A124" t="s">
        <v>253</v>
      </c>
      <c r="B124" t="s">
        <v>428</v>
      </c>
      <c r="C124" t="s">
        <v>429</v>
      </c>
      <c r="D124" t="s">
        <v>340</v>
      </c>
      <c r="E124" t="s">
        <v>149</v>
      </c>
    </row>
    <row r="125" spans="1:5">
      <c r="A125" t="s">
        <v>253</v>
      </c>
      <c r="B125" t="s">
        <v>430</v>
      </c>
      <c r="C125" t="s">
        <v>431</v>
      </c>
      <c r="D125" t="s">
        <v>313</v>
      </c>
      <c r="E125" t="s">
        <v>149</v>
      </c>
    </row>
    <row r="126" spans="1:5">
      <c r="A126" t="s">
        <v>253</v>
      </c>
      <c r="B126" t="s">
        <v>432</v>
      </c>
      <c r="C126" t="s">
        <v>433</v>
      </c>
      <c r="D126" t="s">
        <v>434</v>
      </c>
      <c r="E126" t="s">
        <v>149</v>
      </c>
    </row>
    <row r="127" spans="1:5">
      <c r="A127" t="s">
        <v>253</v>
      </c>
      <c r="B127" t="s">
        <v>435</v>
      </c>
      <c r="C127" t="s">
        <v>436</v>
      </c>
      <c r="D127" t="s">
        <v>420</v>
      </c>
      <c r="E127" t="s">
        <v>149</v>
      </c>
    </row>
    <row r="128" spans="1:5">
      <c r="A128" t="s">
        <v>253</v>
      </c>
      <c r="B128" t="s">
        <v>437</v>
      </c>
      <c r="C128" t="s">
        <v>438</v>
      </c>
      <c r="D128" t="s">
        <v>313</v>
      </c>
      <c r="E128" t="s">
        <v>149</v>
      </c>
    </row>
    <row r="129" spans="1:5">
      <c r="A129" t="s">
        <v>39</v>
      </c>
      <c r="B129" t="s">
        <v>244</v>
      </c>
      <c r="C129" t="s">
        <v>245</v>
      </c>
      <c r="D129" t="s">
        <v>246</v>
      </c>
      <c r="E129" t="s">
        <v>149</v>
      </c>
    </row>
    <row r="130" spans="1:5">
      <c r="A130" t="s">
        <v>39</v>
      </c>
      <c r="B130" t="s">
        <v>439</v>
      </c>
      <c r="C130" t="s">
        <v>251</v>
      </c>
      <c r="D130" t="s">
        <v>440</v>
      </c>
      <c r="E130" t="s">
        <v>149</v>
      </c>
    </row>
    <row r="131" spans="1:5">
      <c r="A131" t="s">
        <v>39</v>
      </c>
      <c r="B131" t="s">
        <v>441</v>
      </c>
      <c r="C131" t="s">
        <v>248</v>
      </c>
      <c r="D131" t="s">
        <v>179</v>
      </c>
      <c r="E131" t="s">
        <v>149</v>
      </c>
    </row>
    <row r="132" spans="1:5">
      <c r="A132" t="s">
        <v>241</v>
      </c>
      <c r="B132" t="s">
        <v>442</v>
      </c>
      <c r="C132" t="s">
        <v>443</v>
      </c>
      <c r="D132" t="s">
        <v>179</v>
      </c>
      <c r="E132" t="s">
        <v>149</v>
      </c>
    </row>
    <row r="133" spans="1:5">
      <c r="A133" t="s">
        <v>241</v>
      </c>
      <c r="B133" t="s">
        <v>444</v>
      </c>
      <c r="C133" t="s">
        <v>445</v>
      </c>
      <c r="D133" t="s">
        <v>179</v>
      </c>
      <c r="E133" t="s">
        <v>149</v>
      </c>
    </row>
    <row r="134" spans="1:5">
      <c r="A134" t="s">
        <v>241</v>
      </c>
      <c r="B134" t="s">
        <v>446</v>
      </c>
      <c r="C134" t="s">
        <v>447</v>
      </c>
      <c r="D134" t="s">
        <v>179</v>
      </c>
      <c r="E134" t="s">
        <v>149</v>
      </c>
    </row>
    <row r="135" spans="1:5">
      <c r="A135" t="s">
        <v>241</v>
      </c>
      <c r="B135" t="s">
        <v>448</v>
      </c>
      <c r="C135" t="s">
        <v>449</v>
      </c>
      <c r="D135" t="s">
        <v>179</v>
      </c>
      <c r="E135" t="s">
        <v>149</v>
      </c>
    </row>
    <row r="136" spans="1:5">
      <c r="A136" t="s">
        <v>450</v>
      </c>
      <c r="B136" t="s">
        <v>451</v>
      </c>
      <c r="C136" t="s">
        <v>452</v>
      </c>
      <c r="D136" t="s">
        <v>453</v>
      </c>
      <c r="E136" t="s">
        <v>203</v>
      </c>
    </row>
    <row r="137" spans="1:5">
      <c r="A137" t="s">
        <v>450</v>
      </c>
      <c r="B137" t="s">
        <v>454</v>
      </c>
      <c r="C137" t="s">
        <v>455</v>
      </c>
      <c r="D137" t="s">
        <v>179</v>
      </c>
      <c r="E137" t="s">
        <v>203</v>
      </c>
    </row>
    <row r="138" spans="1:5">
      <c r="A138" t="s">
        <v>450</v>
      </c>
      <c r="B138" t="s">
        <v>456</v>
      </c>
      <c r="C138" t="s">
        <v>457</v>
      </c>
      <c r="D138" t="s">
        <v>453</v>
      </c>
      <c r="E138" t="s">
        <v>203</v>
      </c>
    </row>
    <row r="139" spans="1:5">
      <c r="A139" t="s">
        <v>450</v>
      </c>
      <c r="B139" t="s">
        <v>458</v>
      </c>
      <c r="C139" t="s">
        <v>459</v>
      </c>
      <c r="D139" t="s">
        <v>179</v>
      </c>
      <c r="E139" t="s">
        <v>203</v>
      </c>
    </row>
    <row r="140" spans="1:5">
      <c r="A140" t="s">
        <v>450</v>
      </c>
      <c r="B140" t="s">
        <v>460</v>
      </c>
      <c r="C140" t="s">
        <v>461</v>
      </c>
      <c r="D140" t="s">
        <v>453</v>
      </c>
      <c r="E140" t="s">
        <v>203</v>
      </c>
    </row>
    <row r="141" spans="1:5">
      <c r="A141" t="s">
        <v>450</v>
      </c>
      <c r="B141" t="s">
        <v>462</v>
      </c>
      <c r="C141" t="s">
        <v>463</v>
      </c>
      <c r="D141" t="s">
        <v>179</v>
      </c>
      <c r="E141" t="s">
        <v>203</v>
      </c>
    </row>
    <row r="142" spans="1:5">
      <c r="A142" t="s">
        <v>67</v>
      </c>
      <c r="B142" t="s">
        <v>464</v>
      </c>
      <c r="C142" t="s">
        <v>202</v>
      </c>
      <c r="D142" t="s">
        <v>179</v>
      </c>
      <c r="E142" t="s">
        <v>203</v>
      </c>
    </row>
    <row r="143" spans="1:5">
      <c r="A143" t="s">
        <v>241</v>
      </c>
      <c r="B143" t="s">
        <v>465</v>
      </c>
      <c r="C143" t="s">
        <v>466</v>
      </c>
      <c r="D143" t="s">
        <v>196</v>
      </c>
      <c r="E143" t="s">
        <v>149</v>
      </c>
    </row>
    <row r="144" spans="1:5">
      <c r="A144" t="s">
        <v>241</v>
      </c>
      <c r="B144" t="s">
        <v>467</v>
      </c>
      <c r="C144" t="s">
        <v>468</v>
      </c>
      <c r="D144" t="s">
        <v>469</v>
      </c>
      <c r="E144" t="s">
        <v>149</v>
      </c>
    </row>
    <row r="145" spans="1:6">
      <c r="A145" t="s">
        <v>241</v>
      </c>
      <c r="B145" t="s">
        <v>470</v>
      </c>
      <c r="C145" t="s">
        <v>471</v>
      </c>
      <c r="D145" t="s">
        <v>472</v>
      </c>
      <c r="E145" t="s">
        <v>149</v>
      </c>
    </row>
    <row r="146" spans="1:6">
      <c r="A146" t="s">
        <v>241</v>
      </c>
      <c r="B146" t="s">
        <v>473</v>
      </c>
      <c r="C146" t="s">
        <v>474</v>
      </c>
      <c r="D146" t="s">
        <v>472</v>
      </c>
      <c r="E146" t="s">
        <v>149</v>
      </c>
    </row>
    <row r="147" spans="1:6">
      <c r="A147" t="s">
        <v>241</v>
      </c>
      <c r="B147" t="s">
        <v>475</v>
      </c>
      <c r="C147" t="s">
        <v>476</v>
      </c>
      <c r="D147" t="s">
        <v>472</v>
      </c>
      <c r="E147" t="s">
        <v>149</v>
      </c>
    </row>
    <row r="148" spans="1:6">
      <c r="A148" t="s">
        <v>241</v>
      </c>
      <c r="B148" t="s">
        <v>477</v>
      </c>
      <c r="C148" t="s">
        <v>478</v>
      </c>
      <c r="D148" t="s">
        <v>472</v>
      </c>
      <c r="E148" t="s">
        <v>149</v>
      </c>
    </row>
    <row r="149" spans="1:6">
      <c r="A149" t="s">
        <v>241</v>
      </c>
      <c r="B149" t="s">
        <v>479</v>
      </c>
      <c r="C149" t="s">
        <v>480</v>
      </c>
      <c r="D149" t="s">
        <v>481</v>
      </c>
      <c r="E149" t="s">
        <v>149</v>
      </c>
    </row>
    <row r="150" spans="1:6">
      <c r="A150" t="s">
        <v>241</v>
      </c>
      <c r="B150" t="s">
        <v>482</v>
      </c>
      <c r="C150" t="s">
        <v>483</v>
      </c>
      <c r="D150" t="s">
        <v>481</v>
      </c>
      <c r="E150" t="s">
        <v>149</v>
      </c>
    </row>
    <row r="151" spans="1:6">
      <c r="A151" t="s">
        <v>67</v>
      </c>
      <c r="B151" t="s">
        <v>484</v>
      </c>
      <c r="C151" t="s">
        <v>485</v>
      </c>
      <c r="D151" t="s">
        <v>486</v>
      </c>
      <c r="E151" t="s">
        <v>149</v>
      </c>
      <c r="F151" t="s">
        <v>150</v>
      </c>
    </row>
    <row r="152" spans="1:6">
      <c r="A152" t="s">
        <v>67</v>
      </c>
      <c r="B152" t="s">
        <v>487</v>
      </c>
      <c r="C152" t="s">
        <v>488</v>
      </c>
      <c r="D152" t="s">
        <v>489</v>
      </c>
      <c r="E152" t="s">
        <v>149</v>
      </c>
    </row>
    <row r="153" spans="1:6">
      <c r="A153" t="s">
        <v>39</v>
      </c>
      <c r="B153" t="s">
        <v>490</v>
      </c>
      <c r="C153" t="s">
        <v>491</v>
      </c>
      <c r="D153" t="s">
        <v>196</v>
      </c>
      <c r="E153" t="s">
        <v>149</v>
      </c>
    </row>
    <row r="154" spans="1:6">
      <c r="A154" t="s">
        <v>79</v>
      </c>
      <c r="B154" t="s">
        <v>44</v>
      </c>
      <c r="C154" t="s">
        <v>492</v>
      </c>
      <c r="D154" t="s">
        <v>179</v>
      </c>
      <c r="E154" t="s">
        <v>149</v>
      </c>
    </row>
    <row r="155" spans="1:6">
      <c r="A155" t="s">
        <v>79</v>
      </c>
      <c r="B155" t="s">
        <v>493</v>
      </c>
      <c r="C155" t="s">
        <v>494</v>
      </c>
      <c r="D155" t="s">
        <v>179</v>
      </c>
      <c r="E155" t="s">
        <v>149</v>
      </c>
    </row>
    <row r="156" spans="1:6">
      <c r="A156" t="s">
        <v>79</v>
      </c>
      <c r="B156" t="s">
        <v>495</v>
      </c>
      <c r="C156" t="s">
        <v>496</v>
      </c>
      <c r="D156" t="s">
        <v>179</v>
      </c>
      <c r="E156" t="s">
        <v>149</v>
      </c>
    </row>
    <row r="157" spans="1:6">
      <c r="A157" t="s">
        <v>79</v>
      </c>
      <c r="B157" t="s">
        <v>497</v>
      </c>
      <c r="C157" t="s">
        <v>498</v>
      </c>
      <c r="D157" t="s">
        <v>179</v>
      </c>
      <c r="E157" t="s">
        <v>149</v>
      </c>
    </row>
    <row r="158" spans="1:6">
      <c r="A158" t="s">
        <v>79</v>
      </c>
      <c r="B158" t="s">
        <v>499</v>
      </c>
      <c r="C158" t="s">
        <v>500</v>
      </c>
      <c r="D158" t="s">
        <v>179</v>
      </c>
      <c r="E158" t="s">
        <v>149</v>
      </c>
    </row>
    <row r="159" spans="1:6">
      <c r="A159" t="s">
        <v>450</v>
      </c>
      <c r="B159" t="s">
        <v>501</v>
      </c>
    </row>
    <row r="160" spans="1:6">
      <c r="A160" t="s">
        <v>450</v>
      </c>
      <c r="B160" t="s">
        <v>502</v>
      </c>
      <c r="D160" t="s">
        <v>503</v>
      </c>
    </row>
    <row r="161" spans="1:5">
      <c r="A161" t="s">
        <v>450</v>
      </c>
      <c r="B161" t="s">
        <v>451</v>
      </c>
      <c r="D161" t="s">
        <v>504</v>
      </c>
    </row>
    <row r="162" spans="1:5">
      <c r="A162" t="s">
        <v>450</v>
      </c>
      <c r="B162" t="s">
        <v>505</v>
      </c>
      <c r="D162" t="s">
        <v>504</v>
      </c>
    </row>
    <row r="163" spans="1:5">
      <c r="A163" t="s">
        <v>450</v>
      </c>
      <c r="B163" t="s">
        <v>38</v>
      </c>
      <c r="D163" t="s">
        <v>503</v>
      </c>
    </row>
    <row r="164" spans="1:5">
      <c r="A164" t="s">
        <v>450</v>
      </c>
      <c r="B164" t="s">
        <v>506</v>
      </c>
      <c r="D164" t="s">
        <v>507</v>
      </c>
    </row>
    <row r="165" spans="1:5">
      <c r="A165" t="s">
        <v>67</v>
      </c>
      <c r="B165" t="s">
        <v>508</v>
      </c>
      <c r="C165" s="45" t="s">
        <v>509</v>
      </c>
      <c r="D165" t="s">
        <v>179</v>
      </c>
    </row>
    <row r="166" spans="1:5">
      <c r="A166" t="s">
        <v>67</v>
      </c>
      <c r="B166" t="s">
        <v>510</v>
      </c>
      <c r="C166" s="45" t="s">
        <v>511</v>
      </c>
      <c r="D166" t="s">
        <v>453</v>
      </c>
    </row>
    <row r="167" spans="1:5">
      <c r="A167" t="s">
        <v>67</v>
      </c>
      <c r="B167" t="s">
        <v>512</v>
      </c>
      <c r="C167" s="45" t="s">
        <v>513</v>
      </c>
      <c r="D167" t="s">
        <v>503</v>
      </c>
    </row>
    <row r="168" spans="1:5">
      <c r="A168" t="s">
        <v>67</v>
      </c>
      <c r="B168" t="s">
        <v>514</v>
      </c>
      <c r="C168" s="45" t="s">
        <v>515</v>
      </c>
      <c r="D168" t="s">
        <v>503</v>
      </c>
    </row>
    <row r="169" spans="1:5">
      <c r="A169" t="s">
        <v>67</v>
      </c>
      <c r="B169" t="s">
        <v>516</v>
      </c>
      <c r="C169" s="45" t="s">
        <v>517</v>
      </c>
      <c r="D169" t="s">
        <v>518</v>
      </c>
    </row>
    <row r="170" spans="1:5">
      <c r="A170" t="s">
        <v>67</v>
      </c>
      <c r="B170" t="s">
        <v>519</v>
      </c>
      <c r="C170" s="45" t="s">
        <v>520</v>
      </c>
      <c r="D170" t="s">
        <v>179</v>
      </c>
    </row>
    <row r="171" spans="1:5">
      <c r="A171" t="s">
        <v>67</v>
      </c>
      <c r="B171" t="s">
        <v>521</v>
      </c>
      <c r="C171" s="45" t="s">
        <v>522</v>
      </c>
      <c r="D171" t="s">
        <v>179</v>
      </c>
    </row>
    <row r="172" spans="1:5">
      <c r="A172" t="s">
        <v>67</v>
      </c>
      <c r="B172" t="s">
        <v>523</v>
      </c>
      <c r="C172" s="45" t="s">
        <v>524</v>
      </c>
      <c r="D172" t="s">
        <v>179</v>
      </c>
    </row>
    <row r="173" spans="1:5">
      <c r="A173" t="s">
        <v>67</v>
      </c>
      <c r="B173" t="s">
        <v>525</v>
      </c>
      <c r="C173" s="45" t="s">
        <v>526</v>
      </c>
      <c r="D173" t="s">
        <v>252</v>
      </c>
      <c r="E173" t="s">
        <v>203</v>
      </c>
    </row>
    <row r="174" spans="1:5">
      <c r="A174" t="s">
        <v>67</v>
      </c>
      <c r="B174" t="s">
        <v>527</v>
      </c>
      <c r="C174" s="45" t="s">
        <v>528</v>
      </c>
      <c r="D174" t="s">
        <v>179</v>
      </c>
    </row>
    <row r="175" spans="1:5">
      <c r="A175" t="s">
        <v>67</v>
      </c>
      <c r="B175" t="s">
        <v>529</v>
      </c>
      <c r="C175" s="45" t="s">
        <v>530</v>
      </c>
      <c r="D175" t="s">
        <v>160</v>
      </c>
    </row>
    <row r="176" spans="1:5">
      <c r="A176" t="s">
        <v>67</v>
      </c>
      <c r="B176" t="s">
        <v>531</v>
      </c>
      <c r="C176" s="45" t="s">
        <v>532</v>
      </c>
      <c r="D176" t="s">
        <v>453</v>
      </c>
    </row>
    <row r="177" spans="1:6">
      <c r="A177" s="60" t="s">
        <v>67</v>
      </c>
      <c r="B177" t="s">
        <v>533</v>
      </c>
      <c r="C177" s="45" t="s">
        <v>534</v>
      </c>
      <c r="D177" s="59" t="s">
        <v>453</v>
      </c>
    </row>
    <row r="178" spans="1:6">
      <c r="A178" s="58" t="s">
        <v>67</v>
      </c>
      <c r="B178" s="58" t="s">
        <v>535</v>
      </c>
      <c r="C178" s="45" t="s">
        <v>536</v>
      </c>
      <c r="D178" s="59" t="s">
        <v>453</v>
      </c>
    </row>
    <row r="179" spans="1:6">
      <c r="A179" s="60" t="s">
        <v>67</v>
      </c>
      <c r="B179" s="60" t="s">
        <v>537</v>
      </c>
      <c r="C179" s="61" t="s">
        <v>538</v>
      </c>
      <c r="D179" s="60" t="s">
        <v>252</v>
      </c>
      <c r="E179" s="60"/>
      <c r="F179" s="60"/>
    </row>
    <row r="180" spans="1:6">
      <c r="A180" s="58" t="s">
        <v>67</v>
      </c>
      <c r="B180" s="58" t="s">
        <v>539</v>
      </c>
      <c r="C180" s="62" t="s">
        <v>540</v>
      </c>
      <c r="D180" s="59" t="s">
        <v>252</v>
      </c>
    </row>
  </sheetData>
  <conditionalFormatting sqref="C159:C178 C1:C2 C180:C1048576">
    <cfRule type="duplicateValues" dxfId="13" priority="3"/>
  </conditionalFormatting>
  <hyperlinks>
    <hyperlink ref="C3" r:id="rId1" display="mailto:oghazalah@ejada.com" xr:uid="{B72DF006-5750-4C9D-8724-288923B7B9D2}"/>
    <hyperlink ref="C4" r:id="rId2" display="mailto:oibrahim@ejada.com" xr:uid="{F9B79D18-7F90-4A8D-88C4-25F5DEE381F4}"/>
    <hyperlink ref="C5" r:id="rId3" display="mailto:amr.alkady@ejada.com" xr:uid="{757AA751-57CE-4839-8208-12080A4B2BFD}"/>
    <hyperlink ref="C6" r:id="rId4" display="mailto:miral.soliman@ejada.com" xr:uid="{19781E5B-C177-4085-AF74-89BF4E4C4B6A}"/>
    <hyperlink ref="C7" r:id="rId5" display="mailto:gbakry@ejada.com" xr:uid="{EDFD6FEE-9A9F-4D5A-B2E4-1E8467D8C591}"/>
    <hyperlink ref="C8" r:id="rId6" display="mailto:basim.nasir@ejada.com" xr:uid="{FBDE6868-749C-4EEC-9511-FA3998FBF589}"/>
    <hyperlink ref="C9" r:id="rId7" display="mailto:moeid@ejada.com" xr:uid="{58324E80-5FC8-4C3A-9845-E6840773E9CB}"/>
    <hyperlink ref="C10" r:id="rId8" display="mailto:imohamed@ejada.com" xr:uid="{84F10312-E6C5-44E2-B419-5FC8EDC69191}"/>
    <hyperlink ref="C11" r:id="rId9" display="mailto:nelkhawalka@ejada.com" xr:uid="{0AE49CFE-9256-4983-8C9C-1B7FC4572877}"/>
    <hyperlink ref="C12" r:id="rId10" display="mailto:sabdelmaguid@ejada.com" xr:uid="{0C768ED7-BCE4-4A44-97D3-247B4B13B7CA}"/>
    <hyperlink ref="C13" r:id="rId11" display="mailto:yelshayeb@ejada.com" xr:uid="{A0421B5A-FAF6-4962-9822-31021D476C21}"/>
    <hyperlink ref="C20" r:id="rId12" display="mailto:ralsealo@ejada.com" xr:uid="{57080395-7168-41FA-880C-3BFFD81583FD}"/>
    <hyperlink ref="C24" r:id="rId13" display="mailto:maelsayed-v@ejada.com" xr:uid="{805519AA-E74E-4772-8E16-CBE6D8233BCD}"/>
    <hyperlink ref="C26" r:id="rId14" display="mailto:anouh@ejada.com" xr:uid="{B0357B54-FDB9-4FC0-9E81-C1A110C8F7BE}"/>
    <hyperlink ref="C31" r:id="rId15" display="mailto:hgamal@ejada.com" xr:uid="{102A3A1F-F679-4992-800D-A68EFF32E7EF}"/>
    <hyperlink ref="C32" r:id="rId16" display="mailto:anady@ejada.com" xr:uid="{CAA58DE4-CCB8-4402-BD7B-75F47E922D94}"/>
    <hyperlink ref="C33" r:id="rId17" display="mailto:aelsahlamy@ejada.com" xr:uid="{1634C026-5011-422C-BDFE-B86BEDFA7BC1}"/>
    <hyperlink ref="C34" r:id="rId18" display="mailto:aelkilany@ejada.com" xr:uid="{E590A551-3EA2-4427-84AC-3153AB822CF9}"/>
    <hyperlink ref="C35" r:id="rId19" display="mailto:abadr@ejada.com" xr:uid="{C752EDAF-178D-4C3D-965E-93D3FAF63040}"/>
    <hyperlink ref="C36" r:id="rId20" display="mailto:mwaseem@ejada.com" xr:uid="{0C9A69E3-163B-4F8C-97FC-626535FC3FAF}"/>
    <hyperlink ref="C37" r:id="rId21" display="mailto:amkhalil@ejada.com" xr:uid="{A74A6670-843C-43CF-BB75-F4FACE2136EC}"/>
    <hyperlink ref="C38" r:id="rId22" display="mailto:maalharbi@ejada.com" xr:uid="{1A972853-6814-45BC-BDFA-4BD1A0C63D5D}"/>
    <hyperlink ref="C39" r:id="rId23" display="mailto:yzaky@ejada.com" xr:uid="{A8600B58-26AC-4BD7-AC60-A1614ABDC037}"/>
    <hyperlink ref="C40" r:id="rId24" display="mailto:yelmezyn@ejada.com" xr:uid="{C00F583F-F103-4258-B86E-BE826FC80EC3}"/>
    <hyperlink ref="C41" r:id="rId25" display="mailto:halharbi@ejada.com" xr:uid="{AD2BE113-423E-47AC-A6DF-BA6084C8DF75}"/>
    <hyperlink ref="C42" r:id="rId26" display="mailto:oalhasson@ejada.com" xr:uid="{0B17D57B-2F9B-41D0-A909-14B91477D8F4}"/>
    <hyperlink ref="C43" r:id="rId27" xr:uid="{C798FFBA-7A34-4375-B1FA-B89F84DF7EE9}"/>
    <hyperlink ref="C44" r:id="rId28" xr:uid="{95659B81-464F-47A5-82B5-698E9177CCE1}"/>
    <hyperlink ref="C45" r:id="rId29" xr:uid="{B85262B6-BC9A-4490-819B-FBE0B5891DEB}"/>
    <hyperlink ref="C46" r:id="rId30" xr:uid="{ED057C9F-36D9-424E-979E-1DC81031472C}"/>
    <hyperlink ref="C48" r:id="rId31" xr:uid="{6F135D85-07FD-447E-B649-6B1686EB8A7B}"/>
    <hyperlink ref="C49" r:id="rId32" xr:uid="{9D89267D-DB18-4D42-92A7-B18410163FD9}"/>
    <hyperlink ref="C50" r:id="rId33" xr:uid="{8F7DEA85-8F2C-4782-A686-92D482266461}"/>
    <hyperlink ref="C51" r:id="rId34" xr:uid="{7A9F749B-BE06-456E-8E4F-934B697FC305}"/>
    <hyperlink ref="C52" r:id="rId35" xr:uid="{E8295906-211C-4595-A2CE-9285B05371EA}"/>
    <hyperlink ref="C53" r:id="rId36" xr:uid="{61DB3BF4-5DA3-4DCE-B59A-80A0D2D27939}"/>
    <hyperlink ref="C54" r:id="rId37" xr:uid="{21803B26-32BE-416B-A046-48B23476B714}"/>
    <hyperlink ref="C55" r:id="rId38" xr:uid="{63D00633-D08A-4EF6-9C9A-619116EF9795}"/>
    <hyperlink ref="C56" r:id="rId39" xr:uid="{9CF93344-2ED0-4F82-9BE3-634310047082}"/>
    <hyperlink ref="C57" r:id="rId40" xr:uid="{F5F2679A-37AD-4F3B-A4F1-04B0E857EB2C}"/>
    <hyperlink ref="C58" r:id="rId41" xr:uid="{8E32C7E0-EA64-40E1-99C3-2442BF39225E}"/>
    <hyperlink ref="C59" r:id="rId42" xr:uid="{01D83AB5-7785-415F-AB49-0760F983360A}"/>
    <hyperlink ref="C60" r:id="rId43" xr:uid="{F5D0575D-8692-45AD-9BEC-A45BED739CAD}"/>
    <hyperlink ref="C61" r:id="rId44" xr:uid="{089D8413-6930-4DE4-B0D6-9FD6AC146769}"/>
    <hyperlink ref="C62" r:id="rId45" xr:uid="{CDD940E3-99C1-4483-A90B-AE2D95A7EADF}"/>
    <hyperlink ref="C63" r:id="rId46" xr:uid="{3839033E-1C8E-4150-A3CD-6DE13CAF5600}"/>
    <hyperlink ref="C64" r:id="rId47" xr:uid="{4EB92C66-2AC3-435B-8050-FC65D80B152E}"/>
    <hyperlink ref="C65" r:id="rId48" xr:uid="{A858BBA8-C354-464A-AFCD-9CD40533BDF5}"/>
    <hyperlink ref="C66" r:id="rId49" xr:uid="{371B792C-882A-4608-8ADB-61C1716CAFB6}"/>
    <hyperlink ref="C67" r:id="rId50" xr:uid="{BBC3342B-5BCF-4B50-B013-0C85DAB4D2AC}"/>
    <hyperlink ref="C68" r:id="rId51" xr:uid="{CF38A21D-5A4C-4F7D-AB0B-C59D86A9E338}"/>
    <hyperlink ref="C69" r:id="rId52" xr:uid="{652C71F6-3954-4872-8880-306D05A99DD7}"/>
    <hyperlink ref="C70" r:id="rId53" xr:uid="{8CE02579-0728-40A3-B2F6-7E01742B10BE}"/>
    <hyperlink ref="C71" r:id="rId54" xr:uid="{036EDF76-CB8D-4D08-864C-194910DCCC24}"/>
    <hyperlink ref="C72" r:id="rId55" xr:uid="{3B2B6053-B55D-463F-8EC4-2374F958FB39}"/>
    <hyperlink ref="C73" r:id="rId56" xr:uid="{EA91BD9E-A554-45BC-B5DB-FE83A1C4507D}"/>
    <hyperlink ref="C74" r:id="rId57" xr:uid="{646E861B-D8BD-4401-8517-A6ED06517783}"/>
    <hyperlink ref="C75" r:id="rId58" xr:uid="{ADB61BF1-6737-425D-ACCB-A8DBDC7C7893}"/>
    <hyperlink ref="C76" r:id="rId59" xr:uid="{A60CAA79-FAAD-4360-B299-F926782E7A65}"/>
    <hyperlink ref="C77" r:id="rId60" xr:uid="{8FEFEF2F-D04E-4BD1-BE74-C1CE2D36B72D}"/>
    <hyperlink ref="C78" r:id="rId61" xr:uid="{72E3983C-1396-4361-8B70-F98964E9F9D7}"/>
    <hyperlink ref="C79" r:id="rId62" xr:uid="{9EDA2FE3-D2B7-4E62-805E-B1F90AA6CBC0}"/>
    <hyperlink ref="C80" r:id="rId63" xr:uid="{DFA91FDA-B66F-4FA0-8E26-19A10F165392}"/>
    <hyperlink ref="C81" r:id="rId64" xr:uid="{CB6B7249-7CBE-4DCA-BDF7-D119892B55E9}"/>
    <hyperlink ref="C82" r:id="rId65" xr:uid="{2FB54A79-EE84-4A55-81BE-74DBF4654E3C}"/>
    <hyperlink ref="C83" r:id="rId66" xr:uid="{FCBE19B6-371C-4061-9EFC-F03846E87ACD}"/>
    <hyperlink ref="C84" r:id="rId67" xr:uid="{73F54AAA-60C8-4381-B82D-0E443DE43C66}"/>
    <hyperlink ref="C85" r:id="rId68" xr:uid="{E4ABC538-386A-4BB0-ACA9-B4E3E809003A}"/>
    <hyperlink ref="C86" r:id="rId69" xr:uid="{28C25150-C9F5-43D9-8862-DB839508CFB0}"/>
    <hyperlink ref="C87" r:id="rId70" xr:uid="{24766695-07B7-467F-88C9-99625580DFB4}"/>
    <hyperlink ref="C88" r:id="rId71" xr:uid="{0C1DE30C-7B19-4526-80FA-C06F522A785F}"/>
    <hyperlink ref="C89" r:id="rId72" xr:uid="{BC06EACE-966B-46D2-BBC3-A49D81571B7F}"/>
    <hyperlink ref="C90" r:id="rId73" xr:uid="{378C7080-CE6E-465F-BB60-13AAA141E0D3}"/>
    <hyperlink ref="C91" r:id="rId74" xr:uid="{35725C0A-8E03-4361-8C4A-274B63809268}"/>
    <hyperlink ref="C92" r:id="rId75" xr:uid="{56DF875B-A133-4348-9411-C4C06A13822F}"/>
    <hyperlink ref="C93" r:id="rId76" xr:uid="{A6E5A859-3A1A-4DF1-9A52-D59D8FF09D12}"/>
    <hyperlink ref="C94" r:id="rId77" xr:uid="{6BAFA492-C161-45AB-A9B4-A1FAE256FC03}"/>
    <hyperlink ref="C95" r:id="rId78" xr:uid="{4B789340-3FB2-4CB9-BCC8-88A220FDFB05}"/>
    <hyperlink ref="C96" r:id="rId79" xr:uid="{B881E192-B22E-452D-B67D-0FFBB15FD281}"/>
    <hyperlink ref="C97" r:id="rId80" xr:uid="{B5669C61-BA37-45D0-9599-477D022A9BAB}"/>
    <hyperlink ref="C98" r:id="rId81" xr:uid="{0EA19632-CB24-47A1-AA3B-33C0B85DC61D}"/>
    <hyperlink ref="C99" r:id="rId82" xr:uid="{BF6806B1-3ACD-4DD5-83AF-B20747C31DE9}"/>
    <hyperlink ref="C100" r:id="rId83" xr:uid="{33AA1744-03FB-4E85-A4B4-E53539611532}"/>
    <hyperlink ref="C101" r:id="rId84" xr:uid="{E279E3A5-4BC3-4AE9-9CF0-01EBD4DEF002}"/>
    <hyperlink ref="C103" r:id="rId85" xr:uid="{B84EE191-E26C-4EDB-BC92-23DED04AAAF6}"/>
    <hyperlink ref="C104" r:id="rId86" xr:uid="{33B51F84-CD2C-4DD8-AC3A-09C5248983BC}"/>
    <hyperlink ref="C105" r:id="rId87" xr:uid="{D4F30955-46C1-4EE7-A1F5-76165F0C5FEF}"/>
    <hyperlink ref="C129" r:id="rId88" xr:uid="{3119D200-81B4-4409-BD44-990DC6EEDD97}"/>
    <hyperlink ref="C130" r:id="rId89" xr:uid="{2AB74BC4-9B49-4D09-80F2-39057BB80C05}"/>
    <hyperlink ref="C131" r:id="rId90" xr:uid="{204E403A-0472-425F-A399-0FA283F76054}"/>
    <hyperlink ref="C132" r:id="rId91" xr:uid="{808AF228-B58B-4D06-A5A7-FDBF92110B38}"/>
    <hyperlink ref="C133" r:id="rId92" xr:uid="{88F74C99-AEF8-4AA5-A90D-3C0065DF03D5}"/>
    <hyperlink ref="C134" r:id="rId93" xr:uid="{3E3547D4-0E14-462C-AC60-E577B2B0CD61}"/>
    <hyperlink ref="C135" r:id="rId94" xr:uid="{D131A288-32B7-4653-B0DF-6B01C30094E8}"/>
    <hyperlink ref="C136" r:id="rId95" xr:uid="{418F6AC5-B3C1-48A3-889E-C1E7BCF30A22}"/>
    <hyperlink ref="C137" r:id="rId96" xr:uid="{4F4D7445-57AD-488D-827E-33EF273DEC42}"/>
    <hyperlink ref="C138" r:id="rId97" xr:uid="{7747F38D-2192-4C93-A56E-2DCF11D4DFB3}"/>
    <hyperlink ref="C139" r:id="rId98" xr:uid="{E835D515-715B-4BC2-A8C6-F4738BDFFFD2}"/>
    <hyperlink ref="C140" r:id="rId99" xr:uid="{E8ED80CC-494B-4559-A747-450133428535}"/>
    <hyperlink ref="C141" r:id="rId100" xr:uid="{49F70105-9A95-4544-B3AA-9AA5A1C2C4DF}"/>
    <hyperlink ref="C142" r:id="rId101" xr:uid="{17682D1E-B026-46F0-A508-5FDAB4647AAD}"/>
    <hyperlink ref="C143" r:id="rId102" xr:uid="{6C0AD133-BB82-4885-881A-496A5D33AE56}"/>
    <hyperlink ref="C144" r:id="rId103" xr:uid="{6F077D33-4A43-4E82-9063-7A9F88DBBDE8}"/>
    <hyperlink ref="C145" r:id="rId104" xr:uid="{C82A5F0B-1B1D-43B8-9E9C-57AD8124B2F8}"/>
    <hyperlink ref="C146" r:id="rId105" xr:uid="{593520B9-BAC8-4FFB-BF28-7DE5B577DB31}"/>
    <hyperlink ref="C147" r:id="rId106" xr:uid="{AE5EB78A-93E5-4C05-84A3-CF1C612475CF}"/>
    <hyperlink ref="C148" r:id="rId107" xr:uid="{5348FD9C-1201-442F-A84D-1021EADAFB3A}"/>
    <hyperlink ref="C149" r:id="rId108" xr:uid="{E98A157B-257A-42E5-954A-AB88D7BDE8C1}"/>
    <hyperlink ref="C150" r:id="rId109" xr:uid="{CAEC51DF-192E-4D78-A804-BFBF4F64EE94}"/>
    <hyperlink ref="C151" r:id="rId110" xr:uid="{B810703E-3829-4DF8-9802-05403C3F4CFA}"/>
    <hyperlink ref="C152" r:id="rId111" xr:uid="{F432590F-9E2A-425C-82C5-83D397B096C1}"/>
    <hyperlink ref="C154" r:id="rId112" xr:uid="{47C33456-4191-456A-A6CD-0176855334F9}"/>
    <hyperlink ref="C155" r:id="rId113" xr:uid="{1E3283BD-050F-4660-9881-8C0A355A8F7F}"/>
    <hyperlink ref="C156" r:id="rId114" xr:uid="{D15D07F1-45B7-44BB-B27A-B6DFCD52DAE4}"/>
    <hyperlink ref="C157" r:id="rId115" xr:uid="{D29C6FE1-6BD0-4247-9E73-5DC9C9916DFD}"/>
    <hyperlink ref="C158" r:id="rId116" xr:uid="{EAC33BF8-8F59-4667-B1C4-6612C6472BD7}"/>
    <hyperlink ref="C153" r:id="rId117" xr:uid="{37E78EAB-F739-41AD-9E22-899C8889BDA1}"/>
    <hyperlink ref="C165" r:id="rId118" xr:uid="{AFE1BD84-3AB2-4AFB-9D43-90CB4725F1F5}"/>
    <hyperlink ref="C166" r:id="rId119" xr:uid="{8E6D6C07-BD99-4AB0-A1C0-8576166E0FF9}"/>
    <hyperlink ref="C167" r:id="rId120" xr:uid="{36F38CF0-E1FC-4181-91D5-10234B316E09}"/>
    <hyperlink ref="C168" r:id="rId121" xr:uid="{37898F3D-CF4A-47C8-8E17-24C0E5300FA7}"/>
    <hyperlink ref="C169" r:id="rId122" xr:uid="{2E2938EC-DAC4-4C38-915F-50CCD7E9FFEC}"/>
    <hyperlink ref="C170" r:id="rId123" xr:uid="{8ED25BDB-C465-4698-A47D-AA6A848A986A}"/>
    <hyperlink ref="C171" r:id="rId124" xr:uid="{6068BF15-88A6-474B-82B1-0C2FFE9BF0A0}"/>
    <hyperlink ref="C172" r:id="rId125" xr:uid="{7CB0506F-A085-41DB-A671-2375E5525FE8}"/>
    <hyperlink ref="C173" r:id="rId126" xr:uid="{F14C03B1-47D4-4E38-8060-F0BBF13B4644}"/>
    <hyperlink ref="C175" r:id="rId127" xr:uid="{166759C5-DC9E-403C-8602-7C79C67642FC}"/>
    <hyperlink ref="C174" r:id="rId128" xr:uid="{BA0BE85F-8266-43A4-BC41-CDFCE69CAC6D}"/>
    <hyperlink ref="C177" r:id="rId129" xr:uid="{DC51EADC-377D-49E0-ADBA-30A97E26E9B5}"/>
    <hyperlink ref="C176" r:id="rId130" xr:uid="{DA50010E-F8FE-414E-B7FE-9CF99BA47F92}"/>
    <hyperlink ref="C178" r:id="rId131" xr:uid="{74375993-0A66-4034-9B91-623828C8DA0B}"/>
    <hyperlink ref="C179" r:id="rId132" xr:uid="{76C7A20B-7C90-4CA4-967E-A0C74F833286}"/>
    <hyperlink ref="C180" r:id="rId133" xr:uid="{81FD44BB-D492-4697-A967-CDCB84D0D3BB}"/>
  </hyperlinks>
  <pageMargins left="0.7" right="0.7" top="0.75" bottom="0.75" header="0.3" footer="0.3"/>
  <tableParts count="1">
    <tablePart r:id="rId13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Q58"/>
  <sheetViews>
    <sheetView workbookViewId="0">
      <pane ySplit="6" topLeftCell="A43" activePane="bottomLeft" state="frozen"/>
      <selection pane="bottomLeft" activeCell="F10" sqref="F10"/>
    </sheetView>
  </sheetViews>
  <sheetFormatPr defaultRowHeight="14.45"/>
  <cols>
    <col min="1" max="1" width="10" customWidth="1"/>
    <col min="2" max="3" width="15" customWidth="1"/>
    <col min="4" max="4" width="25" customWidth="1"/>
    <col min="5" max="5" width="12.42578125" bestFit="1" customWidth="1"/>
    <col min="6" max="6" width="22" customWidth="1"/>
    <col min="7" max="7" width="35" customWidth="1"/>
    <col min="8" max="8" width="16" customWidth="1"/>
    <col min="9" max="9" width="31" customWidth="1"/>
    <col min="10" max="10" width="37.85546875" customWidth="1"/>
    <col min="11" max="11" width="20" customWidth="1"/>
    <col min="12" max="12" width="18" customWidth="1"/>
    <col min="13" max="15" width="16" customWidth="1"/>
    <col min="16" max="16" width="14" customWidth="1"/>
    <col min="17" max="17" width="30" customWidth="1"/>
  </cols>
  <sheetData>
    <row r="1" spans="1:17" ht="30" customHeight="1">
      <c r="A1" s="67" t="s">
        <v>541</v>
      </c>
      <c r="B1" s="72"/>
      <c r="C1" s="72"/>
      <c r="D1" s="72"/>
      <c r="E1" s="72"/>
      <c r="F1" s="72"/>
      <c r="G1" s="72"/>
      <c r="H1" s="72"/>
      <c r="I1" s="72"/>
      <c r="J1" s="72"/>
      <c r="K1" s="72"/>
      <c r="L1" s="72"/>
      <c r="M1" s="72"/>
      <c r="N1" s="72"/>
      <c r="O1" s="72"/>
      <c r="P1" s="72"/>
      <c r="Q1" s="72"/>
    </row>
    <row r="2" spans="1:17" ht="20.100000000000001" customHeight="1">
      <c r="A2" s="70" t="s">
        <v>542</v>
      </c>
      <c r="B2" s="72"/>
      <c r="C2" s="72"/>
      <c r="D2" s="74" t="s">
        <v>35</v>
      </c>
      <c r="E2" s="72"/>
      <c r="F2" s="72"/>
    </row>
    <row r="3" spans="1:17" ht="20.100000000000001" customHeight="1">
      <c r="A3" s="70" t="s">
        <v>543</v>
      </c>
      <c r="B3" s="72"/>
      <c r="C3" s="72"/>
      <c r="D3" s="74" t="s">
        <v>31</v>
      </c>
      <c r="E3" s="72"/>
      <c r="F3" s="72"/>
    </row>
    <row r="4" spans="1:17" ht="20.100000000000001" customHeight="1">
      <c r="A4" s="70" t="s">
        <v>544</v>
      </c>
      <c r="B4" s="72"/>
      <c r="C4" s="72"/>
      <c r="D4" s="74" t="s">
        <v>545</v>
      </c>
      <c r="E4" s="72"/>
      <c r="F4" s="72"/>
      <c r="G4" t="s">
        <v>546</v>
      </c>
    </row>
    <row r="6" spans="1:17"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7" ht="15">
      <c r="A7" s="2"/>
      <c r="B7" s="2"/>
      <c r="C7" s="2"/>
      <c r="D7" s="2" t="s">
        <v>556</v>
      </c>
      <c r="E7" s="2" t="str">
        <f>IFERROR(VLOOKUP(D7,Projects!$D$3:$E$21,2,FALSE),"")</f>
        <v/>
      </c>
      <c r="F7" s="2" t="s">
        <v>557</v>
      </c>
      <c r="G7" s="2" t="s">
        <v>558</v>
      </c>
      <c r="H7" s="2" t="s">
        <v>6</v>
      </c>
      <c r="I7" s="2" t="s">
        <v>559</v>
      </c>
      <c r="J7" s="2"/>
      <c r="K7" s="2">
        <v>132</v>
      </c>
      <c r="L7" s="2">
        <v>84</v>
      </c>
      <c r="M7" s="16">
        <f t="shared" ref="M7:M46" si="0">IF(AND(K7&lt;&gt;"",L7&lt;&gt;""),K7-L7,"")</f>
        <v>48</v>
      </c>
      <c r="N7" s="3">
        <f t="shared" ref="N7:N46" si="1">IF(AND(M7&lt;&gt;"",K7&lt;&gt;"",K7&lt;&gt;0),M7/K7,"")</f>
        <v>0.36363636363636365</v>
      </c>
      <c r="O7" s="2">
        <v>3</v>
      </c>
      <c r="P7" s="5" t="s">
        <v>77</v>
      </c>
      <c r="Q7" s="2"/>
    </row>
    <row r="8" spans="1:17" ht="15">
      <c r="A8" s="5"/>
      <c r="B8" s="5"/>
      <c r="C8" s="5"/>
      <c r="D8" s="5" t="s">
        <v>560</v>
      </c>
      <c r="E8" s="5" t="str">
        <f>IFERROR(VLOOKUP(D8,Projects!$D$3:$E$21,2,FALSE),"")</f>
        <v/>
      </c>
      <c r="F8" s="5" t="s">
        <v>557</v>
      </c>
      <c r="G8" s="5" t="s">
        <v>561</v>
      </c>
      <c r="H8" s="5" t="s">
        <v>562</v>
      </c>
      <c r="I8" s="5" t="s">
        <v>559</v>
      </c>
      <c r="J8" s="5"/>
      <c r="K8" s="5">
        <v>132</v>
      </c>
      <c r="L8" s="5">
        <v>84</v>
      </c>
      <c r="M8" s="17">
        <f t="shared" si="0"/>
        <v>48</v>
      </c>
      <c r="N8" s="6">
        <f t="shared" si="1"/>
        <v>0.36363636363636365</v>
      </c>
      <c r="O8" s="5">
        <v>2</v>
      </c>
      <c r="P8" s="5" t="s">
        <v>77</v>
      </c>
      <c r="Q8" s="5"/>
    </row>
    <row r="9" spans="1:17" ht="15">
      <c r="A9" s="2"/>
      <c r="B9" s="2"/>
      <c r="C9" s="2"/>
      <c r="D9" s="2" t="s">
        <v>560</v>
      </c>
      <c r="E9" s="2" t="str">
        <f>IFERROR(VLOOKUP(D9,Projects!$D$3:$E$21,2,FALSE),"")</f>
        <v/>
      </c>
      <c r="F9" s="2" t="s">
        <v>557</v>
      </c>
      <c r="G9" s="2" t="s">
        <v>563</v>
      </c>
      <c r="H9" s="2" t="s">
        <v>2</v>
      </c>
      <c r="I9" s="2" t="s">
        <v>559</v>
      </c>
      <c r="J9" s="2"/>
      <c r="K9" s="2"/>
      <c r="L9" s="2"/>
      <c r="M9" s="16" t="str">
        <f t="shared" si="0"/>
        <v/>
      </c>
      <c r="N9" s="3" t="str">
        <f t="shared" si="1"/>
        <v/>
      </c>
      <c r="O9" s="2"/>
      <c r="P9" s="5" t="s">
        <v>564</v>
      </c>
      <c r="Q9" s="2"/>
    </row>
    <row r="10" spans="1:17" ht="27">
      <c r="A10" s="5">
        <v>2</v>
      </c>
      <c r="B10" s="5" t="s">
        <v>565</v>
      </c>
      <c r="C10" s="5" t="s">
        <v>566</v>
      </c>
      <c r="D10" s="5" t="s">
        <v>123</v>
      </c>
      <c r="E10" s="5">
        <f>IFERROR(VLOOKUP(D10,Projects!$D$3:$E$21,2,FALSE),"")</f>
        <v>53008701</v>
      </c>
      <c r="F10" s="5" t="s">
        <v>242</v>
      </c>
      <c r="G10" s="5" t="s">
        <v>567</v>
      </c>
      <c r="H10" s="5" t="s">
        <v>2</v>
      </c>
      <c r="I10" s="5" t="s">
        <v>11</v>
      </c>
      <c r="J10" s="5" t="s">
        <v>568</v>
      </c>
      <c r="K10" s="5">
        <v>8</v>
      </c>
      <c r="L10" s="5">
        <v>3</v>
      </c>
      <c r="M10" s="17">
        <f t="shared" si="0"/>
        <v>5</v>
      </c>
      <c r="N10" s="6">
        <f t="shared" si="1"/>
        <v>0.625</v>
      </c>
      <c r="O10" s="5">
        <v>4</v>
      </c>
      <c r="P10" s="5" t="s">
        <v>77</v>
      </c>
      <c r="Q10" s="5"/>
    </row>
    <row r="11" spans="1:17" ht="15">
      <c r="A11" s="2">
        <v>2</v>
      </c>
      <c r="B11" s="2" t="s">
        <v>565</v>
      </c>
      <c r="C11" s="2" t="s">
        <v>566</v>
      </c>
      <c r="D11" s="2" t="s">
        <v>123</v>
      </c>
      <c r="E11" s="2">
        <f>IFERROR(VLOOKUP(D11,Projects!$D$3:$E$21,2,FALSE),"")</f>
        <v>53008701</v>
      </c>
      <c r="F11" s="2" t="s">
        <v>442</v>
      </c>
      <c r="G11" s="2" t="s">
        <v>569</v>
      </c>
      <c r="H11" s="2" t="s">
        <v>10</v>
      </c>
      <c r="I11" s="2" t="s">
        <v>3</v>
      </c>
      <c r="J11" s="2" t="s">
        <v>570</v>
      </c>
      <c r="K11" s="2">
        <v>2</v>
      </c>
      <c r="L11" s="2">
        <v>0.5</v>
      </c>
      <c r="M11" s="16">
        <f t="shared" si="0"/>
        <v>1.5</v>
      </c>
      <c r="N11" s="3">
        <f t="shared" si="1"/>
        <v>0.75</v>
      </c>
      <c r="O11" s="2">
        <v>5</v>
      </c>
      <c r="P11" s="5" t="s">
        <v>77</v>
      </c>
      <c r="Q11" s="2"/>
    </row>
    <row r="12" spans="1:17" ht="27">
      <c r="A12" s="5">
        <v>2</v>
      </c>
      <c r="B12" s="5" t="s">
        <v>565</v>
      </c>
      <c r="C12" s="5" t="s">
        <v>566</v>
      </c>
      <c r="D12" s="5" t="s">
        <v>123</v>
      </c>
      <c r="E12" s="5">
        <f>IFERROR(VLOOKUP(D12,Projects!$D$3:$E$21,2,FALSE),"")</f>
        <v>53008701</v>
      </c>
      <c r="F12" s="5" t="s">
        <v>442</v>
      </c>
      <c r="G12" s="5" t="s">
        <v>571</v>
      </c>
      <c r="H12" s="5" t="s">
        <v>2</v>
      </c>
      <c r="I12" s="5" t="s">
        <v>3</v>
      </c>
      <c r="J12" s="5" t="s">
        <v>572</v>
      </c>
      <c r="K12" s="5">
        <v>4</v>
      </c>
      <c r="L12" s="5">
        <v>1</v>
      </c>
      <c r="M12" s="17">
        <f t="shared" ref="M12:M13" si="2">IF(AND(K12&lt;&gt;"",L12&lt;&gt;""),K12-L12,"")</f>
        <v>3</v>
      </c>
      <c r="N12" s="6">
        <f t="shared" ref="N12:N13" si="3">IF(AND(M12&lt;&gt;"",K12&lt;&gt;"",K12&lt;&gt;0),M12/K12,"")</f>
        <v>0.75</v>
      </c>
      <c r="O12" s="5">
        <v>4</v>
      </c>
      <c r="P12" s="5" t="s">
        <v>77</v>
      </c>
      <c r="Q12" s="5"/>
    </row>
    <row r="13" spans="1:17" ht="27">
      <c r="A13" s="2">
        <v>2</v>
      </c>
      <c r="B13" s="2" t="s">
        <v>565</v>
      </c>
      <c r="C13" s="2" t="s">
        <v>566</v>
      </c>
      <c r="D13" s="2" t="s">
        <v>123</v>
      </c>
      <c r="E13" s="2">
        <f>IFERROR(VLOOKUP(D13,Projects!$D$3:$E$21,2,FALSE),"")</f>
        <v>53008701</v>
      </c>
      <c r="F13" s="2" t="s">
        <v>448</v>
      </c>
      <c r="G13" s="2" t="s">
        <v>573</v>
      </c>
      <c r="H13" s="2" t="s">
        <v>2</v>
      </c>
      <c r="I13" s="2" t="s">
        <v>3</v>
      </c>
      <c r="J13" s="2" t="s">
        <v>574</v>
      </c>
      <c r="K13" s="2">
        <v>8</v>
      </c>
      <c r="L13" s="2">
        <v>2</v>
      </c>
      <c r="M13" s="16">
        <f t="shared" si="2"/>
        <v>6</v>
      </c>
      <c r="N13" s="3">
        <f t="shared" si="3"/>
        <v>0.75</v>
      </c>
      <c r="O13" s="2">
        <v>4</v>
      </c>
      <c r="P13" s="5" t="s">
        <v>77</v>
      </c>
      <c r="Q13" s="2"/>
    </row>
    <row r="14" spans="1:17" ht="15">
      <c r="A14" s="5"/>
      <c r="B14" s="5"/>
      <c r="C14" s="5"/>
      <c r="D14" s="5"/>
      <c r="E14" s="5" t="str">
        <f>IFERROR(VLOOKUP(D14,Projects!$D$3:$E$21,2,FALSE),"")</f>
        <v/>
      </c>
      <c r="F14" s="5"/>
      <c r="G14" s="5"/>
      <c r="H14" s="5"/>
      <c r="I14" s="5"/>
      <c r="J14" s="5"/>
      <c r="K14" s="5"/>
      <c r="L14" s="5"/>
      <c r="M14" s="17" t="str">
        <f t="shared" si="0"/>
        <v/>
      </c>
      <c r="N14" s="6" t="str">
        <f t="shared" si="1"/>
        <v/>
      </c>
      <c r="O14" s="5"/>
      <c r="P14" s="5"/>
      <c r="Q14" s="5"/>
    </row>
    <row r="15" spans="1:17" ht="15">
      <c r="A15" s="2"/>
      <c r="B15" s="2"/>
      <c r="C15" s="2"/>
      <c r="D15" s="2"/>
      <c r="E15" s="2" t="str">
        <f>IFERROR(VLOOKUP(D15,Projects!$D$3:$E$21,2,FALSE),"")</f>
        <v/>
      </c>
      <c r="F15" s="2"/>
      <c r="G15" s="2"/>
      <c r="H15" s="2"/>
      <c r="I15" s="2"/>
      <c r="J15" s="2"/>
      <c r="K15" s="2"/>
      <c r="L15" s="2"/>
      <c r="M15" s="16" t="str">
        <f t="shared" si="0"/>
        <v/>
      </c>
      <c r="N15" s="3" t="str">
        <f t="shared" si="1"/>
        <v/>
      </c>
      <c r="O15" s="2"/>
      <c r="P15" s="2"/>
      <c r="Q15" s="2"/>
    </row>
    <row r="16" spans="1:17" ht="15">
      <c r="A16" s="5"/>
      <c r="B16" s="5"/>
      <c r="C16" s="5"/>
      <c r="D16" s="5"/>
      <c r="E16" s="5" t="str">
        <f>IFERROR(VLOOKUP(D16,Projects!$D$3:$E$21,2,FALSE),"")</f>
        <v/>
      </c>
      <c r="F16" s="5"/>
      <c r="G16" s="5"/>
      <c r="H16" s="5"/>
      <c r="I16" s="5"/>
      <c r="J16" s="5"/>
      <c r="K16" s="5"/>
      <c r="L16" s="5"/>
      <c r="M16" s="17" t="str">
        <f t="shared" si="0"/>
        <v/>
      </c>
      <c r="N16" s="6" t="str">
        <f t="shared" si="1"/>
        <v/>
      </c>
      <c r="O16" s="5"/>
      <c r="P16" s="5"/>
      <c r="Q16" s="5"/>
    </row>
    <row r="17" spans="1:17" ht="15">
      <c r="A17" s="2"/>
      <c r="B17" s="2"/>
      <c r="C17" s="2"/>
      <c r="D17" s="2"/>
      <c r="E17" s="2" t="str">
        <f>IFERROR(VLOOKUP(D17,Projects!$D$3:$E$21,2,FALSE),"")</f>
        <v/>
      </c>
      <c r="F17" s="2"/>
      <c r="G17" s="2"/>
      <c r="H17" s="2"/>
      <c r="I17" s="2"/>
      <c r="J17" s="2"/>
      <c r="K17" s="2"/>
      <c r="L17" s="2"/>
      <c r="M17" s="16" t="str">
        <f t="shared" si="0"/>
        <v/>
      </c>
      <c r="N17" s="3" t="str">
        <f t="shared" si="1"/>
        <v/>
      </c>
      <c r="O17" s="2"/>
      <c r="P17" s="2"/>
      <c r="Q17" s="2"/>
    </row>
    <row r="18" spans="1:17" ht="15">
      <c r="A18" s="5"/>
      <c r="B18" s="5"/>
      <c r="C18" s="5"/>
      <c r="D18" s="5"/>
      <c r="E18" s="5" t="str">
        <f>IFERROR(VLOOKUP(D18,Projects!$D$3:$E$21,2,FALSE),"")</f>
        <v/>
      </c>
      <c r="F18" s="5"/>
      <c r="G18" s="5"/>
      <c r="H18" s="5"/>
      <c r="I18" s="5"/>
      <c r="J18" s="5"/>
      <c r="K18" s="5"/>
      <c r="L18" s="5"/>
      <c r="M18" s="17" t="str">
        <f t="shared" si="0"/>
        <v/>
      </c>
      <c r="N18" s="6" t="str">
        <f t="shared" si="1"/>
        <v/>
      </c>
      <c r="O18" s="5"/>
      <c r="P18" s="5"/>
      <c r="Q18" s="5"/>
    </row>
    <row r="19" spans="1:17" ht="15">
      <c r="A19" s="2"/>
      <c r="B19" s="2"/>
      <c r="C19" s="2"/>
      <c r="D19" s="2"/>
      <c r="E19" s="2" t="str">
        <f>IFERROR(VLOOKUP(D19,Projects!$D$3:$E$21,2,FALSE),"")</f>
        <v/>
      </c>
      <c r="F19" s="2"/>
      <c r="G19" s="2"/>
      <c r="H19" s="2"/>
      <c r="I19" s="2"/>
      <c r="J19" s="2"/>
      <c r="K19" s="2"/>
      <c r="L19" s="2"/>
      <c r="M19" s="16" t="str">
        <f t="shared" si="0"/>
        <v/>
      </c>
      <c r="N19" s="3" t="str">
        <f t="shared" si="1"/>
        <v/>
      </c>
      <c r="O19" s="2"/>
      <c r="P19" s="2"/>
      <c r="Q19" s="2"/>
    </row>
    <row r="20" spans="1:17" ht="15">
      <c r="A20" s="5"/>
      <c r="B20" s="5"/>
      <c r="C20" s="5"/>
      <c r="D20" s="5"/>
      <c r="E20" s="5" t="str">
        <f>IFERROR(VLOOKUP(D20,Projects!$D$3:$E$21,2,FALSE),"")</f>
        <v/>
      </c>
      <c r="F20" s="5"/>
      <c r="G20" s="5"/>
      <c r="H20" s="5"/>
      <c r="I20" s="5"/>
      <c r="J20" s="5"/>
      <c r="K20" s="5"/>
      <c r="L20" s="5"/>
      <c r="M20" s="17" t="str">
        <f t="shared" si="0"/>
        <v/>
      </c>
      <c r="N20" s="6" t="str">
        <f t="shared" si="1"/>
        <v/>
      </c>
      <c r="O20" s="5"/>
      <c r="P20" s="5"/>
      <c r="Q20" s="5"/>
    </row>
    <row r="21" spans="1:17" ht="15">
      <c r="A21" s="2"/>
      <c r="B21" s="2"/>
      <c r="C21" s="2"/>
      <c r="D21" s="2"/>
      <c r="E21" s="2" t="str">
        <f>IFERROR(VLOOKUP(D21,Projects!$D$3:$E$21,2,FALSE),"")</f>
        <v/>
      </c>
      <c r="F21" s="2"/>
      <c r="G21" s="2"/>
      <c r="H21" s="2"/>
      <c r="I21" s="2"/>
      <c r="J21" s="2"/>
      <c r="K21" s="2"/>
      <c r="L21" s="2"/>
      <c r="M21" s="16" t="str">
        <f t="shared" si="0"/>
        <v/>
      </c>
      <c r="N21" s="3" t="str">
        <f t="shared" si="1"/>
        <v/>
      </c>
      <c r="O21" s="2"/>
      <c r="P21" s="2"/>
      <c r="Q21" s="2"/>
    </row>
    <row r="22" spans="1:17" ht="15">
      <c r="A22" s="5"/>
      <c r="B22" s="5"/>
      <c r="C22" s="5"/>
      <c r="D22" s="5"/>
      <c r="E22" s="5" t="str">
        <f>IFERROR(VLOOKUP(D22,Projects!$D$3:$E$21,2,FALSE),"")</f>
        <v/>
      </c>
      <c r="F22" s="5"/>
      <c r="G22" s="5"/>
      <c r="H22" s="5"/>
      <c r="I22" s="5"/>
      <c r="J22" s="5"/>
      <c r="K22" s="5"/>
      <c r="L22" s="5"/>
      <c r="M22" s="17" t="str">
        <f t="shared" si="0"/>
        <v/>
      </c>
      <c r="N22" s="6" t="str">
        <f t="shared" si="1"/>
        <v/>
      </c>
      <c r="O22" s="5"/>
      <c r="P22" s="5"/>
      <c r="Q22" s="5"/>
    </row>
    <row r="23" spans="1:17" ht="15">
      <c r="A23" s="2"/>
      <c r="B23" s="2"/>
      <c r="C23" s="2"/>
      <c r="D23" s="2"/>
      <c r="E23" s="2" t="str">
        <f>IFERROR(VLOOKUP(D23,Projects!$D$3:$E$21,2,FALSE),"")</f>
        <v/>
      </c>
      <c r="F23" s="2"/>
      <c r="G23" s="2"/>
      <c r="H23" s="2"/>
      <c r="I23" s="2"/>
      <c r="J23" s="2"/>
      <c r="K23" s="2"/>
      <c r="L23" s="2"/>
      <c r="M23" s="16" t="str">
        <f t="shared" si="0"/>
        <v/>
      </c>
      <c r="N23" s="3" t="str">
        <f t="shared" si="1"/>
        <v/>
      </c>
      <c r="O23" s="2"/>
      <c r="P23" s="2"/>
      <c r="Q23" s="2"/>
    </row>
    <row r="24" spans="1:17" ht="15">
      <c r="A24" s="5"/>
      <c r="B24" s="5"/>
      <c r="C24" s="5"/>
      <c r="D24" s="5"/>
      <c r="E24" s="5" t="str">
        <f>IFERROR(VLOOKUP(D24,Projects!$D$3:$E$21,2,FALSE),"")</f>
        <v/>
      </c>
      <c r="F24" s="5"/>
      <c r="G24" s="5"/>
      <c r="H24" s="5"/>
      <c r="I24" s="5"/>
      <c r="J24" s="5"/>
      <c r="K24" s="5"/>
      <c r="L24" s="5"/>
      <c r="M24" s="17" t="str">
        <f t="shared" si="0"/>
        <v/>
      </c>
      <c r="N24" s="6" t="str">
        <f t="shared" si="1"/>
        <v/>
      </c>
      <c r="O24" s="5"/>
      <c r="P24" s="5"/>
      <c r="Q24" s="5"/>
    </row>
    <row r="25" spans="1:17" ht="15">
      <c r="A25" s="2"/>
      <c r="B25" s="2"/>
      <c r="C25" s="2"/>
      <c r="D25" s="2"/>
      <c r="E25" s="2" t="str">
        <f>IFERROR(VLOOKUP(D25,Projects!$D$3:$E$21,2,FALSE),"")</f>
        <v/>
      </c>
      <c r="F25" s="2"/>
      <c r="G25" s="2"/>
      <c r="H25" s="2"/>
      <c r="I25" s="2"/>
      <c r="J25" s="2"/>
      <c r="K25" s="2"/>
      <c r="L25" s="2"/>
      <c r="M25" s="16" t="str">
        <f t="shared" si="0"/>
        <v/>
      </c>
      <c r="N25" s="3" t="str">
        <f t="shared" si="1"/>
        <v/>
      </c>
      <c r="O25" s="2"/>
      <c r="P25" s="2"/>
      <c r="Q25" s="2"/>
    </row>
    <row r="26" spans="1:17" ht="15">
      <c r="A26" s="5"/>
      <c r="B26" s="5"/>
      <c r="C26" s="5"/>
      <c r="D26" s="5"/>
      <c r="E26" s="5" t="str">
        <f>IFERROR(VLOOKUP(D26,Projects!$D$3:$E$21,2,FALSE),"")</f>
        <v/>
      </c>
      <c r="F26" s="5"/>
      <c r="G26" s="5"/>
      <c r="H26" s="5"/>
      <c r="I26" s="5"/>
      <c r="J26" s="5"/>
      <c r="K26" s="5"/>
      <c r="L26" s="5"/>
      <c r="M26" s="17" t="str">
        <f t="shared" si="0"/>
        <v/>
      </c>
      <c r="N26" s="6" t="str">
        <f t="shared" si="1"/>
        <v/>
      </c>
      <c r="O26" s="5"/>
      <c r="P26" s="5"/>
      <c r="Q26" s="5"/>
    </row>
    <row r="27" spans="1:17" ht="15">
      <c r="A27" s="2"/>
      <c r="B27" s="2"/>
      <c r="C27" s="2"/>
      <c r="D27" s="2"/>
      <c r="E27" s="2" t="str">
        <f>IFERROR(VLOOKUP(D27,Projects!$D$3:$E$21,2,FALSE),"")</f>
        <v/>
      </c>
      <c r="F27" s="2"/>
      <c r="G27" s="2"/>
      <c r="H27" s="2"/>
      <c r="I27" s="2"/>
      <c r="J27" s="2"/>
      <c r="K27" s="2"/>
      <c r="L27" s="2"/>
      <c r="M27" s="16" t="str">
        <f t="shared" si="0"/>
        <v/>
      </c>
      <c r="N27" s="3" t="str">
        <f t="shared" si="1"/>
        <v/>
      </c>
      <c r="O27" s="2"/>
      <c r="P27" s="2"/>
      <c r="Q27" s="2"/>
    </row>
    <row r="28" spans="1:17" ht="15">
      <c r="A28" s="5"/>
      <c r="B28" s="5"/>
      <c r="C28" s="5"/>
      <c r="D28" s="5"/>
      <c r="E28" s="5" t="str">
        <f>IFERROR(VLOOKUP(D28,Projects!$D$3:$E$21,2,FALSE),"")</f>
        <v/>
      </c>
      <c r="F28" s="5"/>
      <c r="G28" s="5"/>
      <c r="H28" s="5"/>
      <c r="I28" s="5"/>
      <c r="J28" s="5"/>
      <c r="K28" s="5"/>
      <c r="L28" s="5"/>
      <c r="M28" s="17" t="str">
        <f t="shared" si="0"/>
        <v/>
      </c>
      <c r="N28" s="6" t="str">
        <f t="shared" si="1"/>
        <v/>
      </c>
      <c r="O28" s="5"/>
      <c r="P28" s="5"/>
      <c r="Q28" s="5"/>
    </row>
    <row r="29" spans="1:17" ht="15">
      <c r="A29" s="2"/>
      <c r="B29" s="2"/>
      <c r="C29" s="2"/>
      <c r="D29" s="2"/>
      <c r="E29" s="2" t="str">
        <f>IFERROR(VLOOKUP(D29,Projects!$D$3:$E$21,2,FALSE),"")</f>
        <v/>
      </c>
      <c r="F29" s="2"/>
      <c r="G29" s="2"/>
      <c r="H29" s="2"/>
      <c r="I29" s="2"/>
      <c r="J29" s="2"/>
      <c r="K29" s="2"/>
      <c r="L29" s="2"/>
      <c r="M29" s="16" t="str">
        <f t="shared" si="0"/>
        <v/>
      </c>
      <c r="N29" s="3" t="str">
        <f t="shared" si="1"/>
        <v/>
      </c>
      <c r="O29" s="2"/>
      <c r="P29" s="2"/>
      <c r="Q29" s="2"/>
    </row>
    <row r="30" spans="1:17" ht="15">
      <c r="A30" s="5"/>
      <c r="B30" s="5"/>
      <c r="C30" s="5"/>
      <c r="D30" s="5"/>
      <c r="E30" s="5" t="str">
        <f>IFERROR(VLOOKUP(D30,Projects!$D$3:$E$21,2,FALSE),"")</f>
        <v/>
      </c>
      <c r="F30" s="5"/>
      <c r="G30" s="5"/>
      <c r="H30" s="5"/>
      <c r="I30" s="5"/>
      <c r="J30" s="5"/>
      <c r="K30" s="5"/>
      <c r="L30" s="5"/>
      <c r="M30" s="17" t="str">
        <f t="shared" si="0"/>
        <v/>
      </c>
      <c r="N30" s="6" t="str">
        <f t="shared" si="1"/>
        <v/>
      </c>
      <c r="O30" s="5"/>
      <c r="P30" s="5"/>
      <c r="Q30" s="5"/>
    </row>
    <row r="31" spans="1:17" ht="15">
      <c r="A31" s="2"/>
      <c r="B31" s="2"/>
      <c r="C31" s="2"/>
      <c r="D31" s="2"/>
      <c r="E31" s="2" t="str">
        <f>IFERROR(VLOOKUP(D31,Projects!$D$3:$E$21,2,FALSE),"")</f>
        <v/>
      </c>
      <c r="F31" s="2"/>
      <c r="G31" s="2"/>
      <c r="H31" s="2"/>
      <c r="I31" s="2"/>
      <c r="J31" s="2"/>
      <c r="K31" s="2"/>
      <c r="L31" s="2"/>
      <c r="M31" s="16" t="str">
        <f t="shared" si="0"/>
        <v/>
      </c>
      <c r="N31" s="3" t="str">
        <f t="shared" si="1"/>
        <v/>
      </c>
      <c r="O31" s="2"/>
      <c r="P31" s="2"/>
      <c r="Q31" s="2"/>
    </row>
    <row r="32" spans="1:17" ht="15">
      <c r="A32" s="5"/>
      <c r="B32" s="5"/>
      <c r="C32" s="5"/>
      <c r="D32" s="5"/>
      <c r="E32" s="5" t="str">
        <f>IFERROR(VLOOKUP(D32,Projects!$D$3:$E$21,2,FALSE),"")</f>
        <v/>
      </c>
      <c r="F32" s="5"/>
      <c r="G32" s="5"/>
      <c r="H32" s="5"/>
      <c r="I32" s="5"/>
      <c r="J32" s="5"/>
      <c r="K32" s="5"/>
      <c r="L32" s="5"/>
      <c r="M32" s="17" t="str">
        <f t="shared" si="0"/>
        <v/>
      </c>
      <c r="N32" s="6" t="str">
        <f t="shared" si="1"/>
        <v/>
      </c>
      <c r="O32" s="5"/>
      <c r="P32" s="5"/>
      <c r="Q32" s="5"/>
    </row>
    <row r="33" spans="1:17" ht="15">
      <c r="A33" s="2"/>
      <c r="B33" s="2"/>
      <c r="C33" s="2"/>
      <c r="D33" s="2"/>
      <c r="E33" s="2" t="str">
        <f>IFERROR(VLOOKUP(D33,Projects!$D$3:$E$21,2,FALSE),"")</f>
        <v/>
      </c>
      <c r="F33" s="2"/>
      <c r="G33" s="2"/>
      <c r="H33" s="2"/>
      <c r="I33" s="2"/>
      <c r="J33" s="2"/>
      <c r="K33" s="2"/>
      <c r="L33" s="2"/>
      <c r="M33" s="16" t="str">
        <f t="shared" si="0"/>
        <v/>
      </c>
      <c r="N33" s="3" t="str">
        <f t="shared" si="1"/>
        <v/>
      </c>
      <c r="O33" s="2"/>
      <c r="P33" s="2"/>
      <c r="Q33" s="2"/>
    </row>
    <row r="34" spans="1:17" ht="15">
      <c r="A34" s="5"/>
      <c r="B34" s="5"/>
      <c r="C34" s="5"/>
      <c r="D34" s="5"/>
      <c r="E34" s="5" t="str">
        <f>IFERROR(VLOOKUP(D34,Projects!$D$3:$E$21,2,FALSE),"")</f>
        <v/>
      </c>
      <c r="F34" s="5"/>
      <c r="G34" s="5"/>
      <c r="H34" s="5"/>
      <c r="I34" s="5"/>
      <c r="J34" s="5"/>
      <c r="K34" s="5"/>
      <c r="L34" s="5"/>
      <c r="M34" s="17" t="str">
        <f t="shared" si="0"/>
        <v/>
      </c>
      <c r="N34" s="6" t="str">
        <f t="shared" si="1"/>
        <v/>
      </c>
      <c r="O34" s="5"/>
      <c r="P34" s="5"/>
      <c r="Q34" s="5"/>
    </row>
    <row r="35" spans="1:17" ht="15">
      <c r="A35" s="2"/>
      <c r="B35" s="2"/>
      <c r="C35" s="2"/>
      <c r="D35" s="2"/>
      <c r="E35" s="2" t="str">
        <f>IFERROR(VLOOKUP(D35,Projects!$D$3:$E$21,2,FALSE),"")</f>
        <v/>
      </c>
      <c r="F35" s="2"/>
      <c r="G35" s="2"/>
      <c r="H35" s="2"/>
      <c r="I35" s="2"/>
      <c r="J35" s="2"/>
      <c r="K35" s="2"/>
      <c r="L35" s="2"/>
      <c r="M35" s="16" t="str">
        <f t="shared" si="0"/>
        <v/>
      </c>
      <c r="N35" s="3" t="str">
        <f t="shared" si="1"/>
        <v/>
      </c>
      <c r="O35" s="2"/>
      <c r="P35" s="2"/>
      <c r="Q35" s="2"/>
    </row>
    <row r="36" spans="1:17" ht="15">
      <c r="A36" s="5"/>
      <c r="B36" s="5"/>
      <c r="C36" s="5"/>
      <c r="D36" s="5"/>
      <c r="E36" s="5" t="str">
        <f>IFERROR(VLOOKUP(D36,Projects!$D$3:$E$21,2,FALSE),"")</f>
        <v/>
      </c>
      <c r="F36" s="5"/>
      <c r="G36" s="5"/>
      <c r="H36" s="5"/>
      <c r="I36" s="5"/>
      <c r="J36" s="5"/>
      <c r="K36" s="5"/>
      <c r="L36" s="5"/>
      <c r="M36" s="17" t="str">
        <f t="shared" si="0"/>
        <v/>
      </c>
      <c r="N36" s="6" t="str">
        <f t="shared" si="1"/>
        <v/>
      </c>
      <c r="O36" s="5"/>
      <c r="P36" s="5"/>
      <c r="Q36" s="5"/>
    </row>
    <row r="37" spans="1:17" ht="15">
      <c r="A37" s="2"/>
      <c r="B37" s="2"/>
      <c r="C37" s="2"/>
      <c r="D37" s="2"/>
      <c r="E37" s="2" t="str">
        <f>IFERROR(VLOOKUP(D37,Projects!$D$3:$E$21,2,FALSE),"")</f>
        <v/>
      </c>
      <c r="F37" s="2"/>
      <c r="G37" s="2"/>
      <c r="H37" s="2"/>
      <c r="I37" s="2"/>
      <c r="J37" s="2"/>
      <c r="K37" s="2"/>
      <c r="L37" s="2"/>
      <c r="M37" s="16" t="str">
        <f t="shared" si="0"/>
        <v/>
      </c>
      <c r="N37" s="3" t="str">
        <f t="shared" si="1"/>
        <v/>
      </c>
      <c r="O37" s="2"/>
      <c r="P37" s="2"/>
      <c r="Q37" s="2"/>
    </row>
    <row r="38" spans="1:17" ht="15">
      <c r="A38" s="5"/>
      <c r="B38" s="5"/>
      <c r="C38" s="5"/>
      <c r="D38" s="5"/>
      <c r="E38" s="5" t="str">
        <f>IFERROR(VLOOKUP(D38,Projects!$D$3:$E$21,2,FALSE),"")</f>
        <v/>
      </c>
      <c r="F38" s="5"/>
      <c r="G38" s="5"/>
      <c r="H38" s="5"/>
      <c r="I38" s="5"/>
      <c r="J38" s="5"/>
      <c r="K38" s="5"/>
      <c r="L38" s="5"/>
      <c r="M38" s="17" t="str">
        <f t="shared" si="0"/>
        <v/>
      </c>
      <c r="N38" s="6" t="str">
        <f t="shared" si="1"/>
        <v/>
      </c>
      <c r="O38" s="5"/>
      <c r="P38" s="5"/>
      <c r="Q38" s="5"/>
    </row>
    <row r="39" spans="1:17" ht="15">
      <c r="A39" s="2"/>
      <c r="B39" s="2"/>
      <c r="C39" s="2"/>
      <c r="D39" s="2"/>
      <c r="E39" s="2" t="str">
        <f>IFERROR(VLOOKUP(D39,Projects!$D$3:$E$21,2,FALSE),"")</f>
        <v/>
      </c>
      <c r="F39" s="2"/>
      <c r="G39" s="2"/>
      <c r="H39" s="2"/>
      <c r="I39" s="2"/>
      <c r="J39" s="2"/>
      <c r="K39" s="2"/>
      <c r="L39" s="2"/>
      <c r="M39" s="16" t="str">
        <f t="shared" si="0"/>
        <v/>
      </c>
      <c r="N39" s="3" t="str">
        <f t="shared" si="1"/>
        <v/>
      </c>
      <c r="O39" s="2"/>
      <c r="P39" s="2"/>
      <c r="Q39" s="2"/>
    </row>
    <row r="40" spans="1:17" ht="15">
      <c r="A40" s="5"/>
      <c r="B40" s="5"/>
      <c r="C40" s="5"/>
      <c r="D40" s="5"/>
      <c r="E40" s="5" t="str">
        <f>IFERROR(VLOOKUP(D40,Projects!$D$3:$E$21,2,FALSE),"")</f>
        <v/>
      </c>
      <c r="F40" s="5"/>
      <c r="G40" s="5"/>
      <c r="H40" s="5"/>
      <c r="I40" s="5"/>
      <c r="J40" s="5"/>
      <c r="K40" s="5"/>
      <c r="L40" s="5"/>
      <c r="M40" s="17" t="str">
        <f t="shared" si="0"/>
        <v/>
      </c>
      <c r="N40" s="6" t="str">
        <f t="shared" si="1"/>
        <v/>
      </c>
      <c r="O40" s="5"/>
      <c r="P40" s="5"/>
      <c r="Q40" s="5"/>
    </row>
    <row r="41" spans="1:17" ht="15">
      <c r="A41" s="2"/>
      <c r="B41" s="2"/>
      <c r="C41" s="2"/>
      <c r="D41" s="2"/>
      <c r="E41" s="2" t="str">
        <f>IFERROR(VLOOKUP(D41,Projects!$D$3:$E$21,2,FALSE),"")</f>
        <v/>
      </c>
      <c r="F41" s="2"/>
      <c r="G41" s="2"/>
      <c r="H41" s="2"/>
      <c r="I41" s="2"/>
      <c r="J41" s="2"/>
      <c r="K41" s="2"/>
      <c r="L41" s="2"/>
      <c r="M41" s="16" t="str">
        <f t="shared" si="0"/>
        <v/>
      </c>
      <c r="N41" s="3" t="str">
        <f t="shared" si="1"/>
        <v/>
      </c>
      <c r="O41" s="2"/>
      <c r="P41" s="2"/>
      <c r="Q41" s="2"/>
    </row>
    <row r="42" spans="1:17" ht="15">
      <c r="A42" s="5"/>
      <c r="B42" s="5"/>
      <c r="C42" s="5"/>
      <c r="D42" s="5"/>
      <c r="E42" s="5" t="str">
        <f>IFERROR(VLOOKUP(D42,Projects!$D$3:$E$21,2,FALSE),"")</f>
        <v/>
      </c>
      <c r="F42" s="5"/>
      <c r="G42" s="5"/>
      <c r="H42" s="5"/>
      <c r="I42" s="5"/>
      <c r="J42" s="5"/>
      <c r="K42" s="5"/>
      <c r="L42" s="5"/>
      <c r="M42" s="17" t="str">
        <f t="shared" si="0"/>
        <v/>
      </c>
      <c r="N42" s="6" t="str">
        <f t="shared" si="1"/>
        <v/>
      </c>
      <c r="O42" s="5"/>
      <c r="P42" s="5"/>
      <c r="Q42" s="5"/>
    </row>
    <row r="43" spans="1:17" ht="15">
      <c r="A43" s="2"/>
      <c r="B43" s="2"/>
      <c r="C43" s="2"/>
      <c r="D43" s="2"/>
      <c r="E43" s="2" t="str">
        <f>IFERROR(VLOOKUP(D43,Projects!$D$3:$E$21,2,FALSE),"")</f>
        <v/>
      </c>
      <c r="F43" s="2"/>
      <c r="G43" s="2"/>
      <c r="H43" s="2"/>
      <c r="I43" s="2"/>
      <c r="J43" s="2"/>
      <c r="K43" s="2"/>
      <c r="L43" s="2"/>
      <c r="M43" s="16" t="str">
        <f t="shared" si="0"/>
        <v/>
      </c>
      <c r="N43" s="3" t="str">
        <f t="shared" si="1"/>
        <v/>
      </c>
      <c r="O43" s="2"/>
      <c r="P43" s="2"/>
      <c r="Q43" s="2"/>
    </row>
    <row r="44" spans="1:17" ht="15">
      <c r="A44" s="5"/>
      <c r="B44" s="5"/>
      <c r="C44" s="5"/>
      <c r="D44" s="5"/>
      <c r="E44" s="5" t="str">
        <f>IFERROR(VLOOKUP(D44,Projects!$D$3:$E$21,2,FALSE),"")</f>
        <v/>
      </c>
      <c r="F44" s="5"/>
      <c r="G44" s="5"/>
      <c r="H44" s="5"/>
      <c r="I44" s="5"/>
      <c r="J44" s="5"/>
      <c r="K44" s="5"/>
      <c r="L44" s="5"/>
      <c r="M44" s="17" t="str">
        <f t="shared" si="0"/>
        <v/>
      </c>
      <c r="N44" s="6" t="str">
        <f t="shared" si="1"/>
        <v/>
      </c>
      <c r="O44" s="5"/>
      <c r="P44" s="5"/>
      <c r="Q44" s="5"/>
    </row>
    <row r="45" spans="1:17" ht="15">
      <c r="A45" s="2"/>
      <c r="B45" s="2"/>
      <c r="C45" s="2"/>
      <c r="D45" s="2"/>
      <c r="E45" s="2" t="str">
        <f>IFERROR(VLOOKUP(D45,Projects!$D$3:$E$21,2,FALSE),"")</f>
        <v/>
      </c>
      <c r="F45" s="2"/>
      <c r="G45" s="2"/>
      <c r="H45" s="2"/>
      <c r="I45" s="2"/>
      <c r="J45" s="2"/>
      <c r="K45" s="2"/>
      <c r="L45" s="2"/>
      <c r="M45" s="16" t="str">
        <f t="shared" si="0"/>
        <v/>
      </c>
      <c r="N45" s="3" t="str">
        <f t="shared" si="1"/>
        <v/>
      </c>
      <c r="O45" s="2"/>
      <c r="P45" s="2"/>
      <c r="Q45" s="2"/>
    </row>
    <row r="46" spans="1:17" ht="15">
      <c r="A46" s="5"/>
      <c r="B46" s="5"/>
      <c r="C46" s="5"/>
      <c r="D46" s="5"/>
      <c r="E46" s="5" t="str">
        <f>IFERROR(VLOOKUP(D46,Projects!$D$3:$E$21,2,FALSE),"")</f>
        <v/>
      </c>
      <c r="F46" s="5"/>
      <c r="G46" s="5"/>
      <c r="H46" s="5"/>
      <c r="I46" s="5"/>
      <c r="J46" s="5"/>
      <c r="K46" s="5"/>
      <c r="L46" s="5"/>
      <c r="M46" s="5" t="str">
        <f t="shared" si="0"/>
        <v/>
      </c>
      <c r="N46" s="5" t="str">
        <f t="shared" si="1"/>
        <v/>
      </c>
      <c r="O46" s="5"/>
      <c r="P46" s="5"/>
      <c r="Q46" s="5"/>
    </row>
    <row r="49" spans="1:17">
      <c r="A49" s="71" t="s">
        <v>575</v>
      </c>
      <c r="B49" s="72"/>
      <c r="C49" s="72"/>
      <c r="D49" s="72"/>
      <c r="E49" s="72"/>
      <c r="F49" s="72"/>
      <c r="G49" s="72"/>
      <c r="H49" s="72"/>
      <c r="I49" s="72"/>
      <c r="J49" s="72"/>
      <c r="K49" s="72"/>
      <c r="L49" s="72"/>
      <c r="M49" s="72"/>
      <c r="N49" s="72"/>
      <c r="O49" s="72"/>
      <c r="P49" s="72"/>
      <c r="Q49" s="72"/>
    </row>
    <row r="50" spans="1:17">
      <c r="A50" s="1" t="s">
        <v>576</v>
      </c>
      <c r="B50" s="1" t="s">
        <v>577</v>
      </c>
    </row>
    <row r="51" spans="1:17" ht="27.6">
      <c r="A51" s="18" t="s">
        <v>578</v>
      </c>
      <c r="B51" s="12">
        <f>COUNTA(G7:G46)</f>
        <v>7</v>
      </c>
    </row>
    <row r="52" spans="1:17" ht="41.45">
      <c r="A52" s="18" t="s">
        <v>579</v>
      </c>
      <c r="B52" s="12">
        <f>SUM(K7:K46)</f>
        <v>286</v>
      </c>
    </row>
    <row r="53" spans="1:17" ht="41.45">
      <c r="A53" s="18" t="s">
        <v>580</v>
      </c>
      <c r="B53" s="12">
        <f>SUM(L7:L46)</f>
        <v>174.5</v>
      </c>
    </row>
    <row r="54" spans="1:17" ht="27.6">
      <c r="A54" s="18" t="s">
        <v>581</v>
      </c>
      <c r="B54" s="12">
        <f>SUM(M7:M46)</f>
        <v>111.5</v>
      </c>
    </row>
    <row r="55" spans="1:17" ht="41.45">
      <c r="A55" s="18" t="s">
        <v>582</v>
      </c>
      <c r="B55" s="19">
        <f>IFERROR(AVERAGE(N7:N46),"")</f>
        <v>0.60037878787878796</v>
      </c>
    </row>
    <row r="56" spans="1:17" ht="41.45">
      <c r="A56" s="18" t="s">
        <v>583</v>
      </c>
      <c r="B56" s="20">
        <f>IFERROR(AVERAGE(O7:O46),"")</f>
        <v>3.6666666666666665</v>
      </c>
    </row>
    <row r="57" spans="1:17" ht="27.6">
      <c r="A57" s="18" t="s">
        <v>584</v>
      </c>
      <c r="B57" s="12">
        <f>COUNTIF(P7:P46,"Completed")</f>
        <v>6</v>
      </c>
    </row>
    <row r="58" spans="1:17" ht="27.6">
      <c r="A58" s="18" t="s">
        <v>585</v>
      </c>
      <c r="B58" s="12">
        <f>COUNTIF(P7:P46,"In Progress")</f>
        <v>1</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400-000001000000}">
      <formula1>CES_Projects</formula1>
    </dataValidation>
    <dataValidation type="list" allowBlank="1" sqref="P7:P46" xr:uid="{00000000-0002-0000-0400-000003000000}">
      <formula1>"Not Started,In Progress,Completed,On Hold"</formula1>
    </dataValidation>
    <dataValidation type="whole" allowBlank="1" error="Enter a number between 1 and 5." sqref="O7:O46" xr:uid="{00000000-0002-0000-04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400-000002000000}">
          <x14:formula1>
            <xm:f>LOVs!$B$2:$B$7</xm:f>
          </x14:formula1>
          <xm:sqref>I7:I46</xm:sqref>
        </x14:dataValidation>
        <x14:dataValidation type="list" allowBlank="1" errorTitle="Invalid Category" error="Please choose a valid Task Category." promptTitle="Task Category" prompt="Select a task category" xr:uid="{00000000-0002-0000-0400-000000000000}">
          <x14:formula1>
            <xm:f>LOVs!$A$2:$A$7</xm:f>
          </x14:formula1>
          <xm:sqref>H7:H46</xm:sqref>
        </x14:dataValidation>
        <x14:dataValidation type="list" allowBlank="1" showInputMessage="1" showErrorMessage="1" xr:uid="{45E011DB-FA66-450B-9C16-5A7EFA2524A0}">
          <x14:formula1>
            <xm:f>'Copliot User Access'!$B:$B</xm:f>
          </x14:formula1>
          <xm:sqref>F7:F46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R58"/>
  <sheetViews>
    <sheetView workbookViewId="0">
      <pane ySplit="6" topLeftCell="A44" activePane="bottomLeft" state="frozen"/>
      <selection pane="bottomLeft" activeCell="A9" sqref="A9"/>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8" ht="30" customHeight="1">
      <c r="A1" s="67" t="s">
        <v>586</v>
      </c>
      <c r="B1" s="72"/>
      <c r="C1" s="72"/>
      <c r="D1" s="72"/>
      <c r="E1" s="72"/>
      <c r="F1" s="72"/>
      <c r="G1" s="72"/>
      <c r="H1" s="72"/>
      <c r="I1" s="72"/>
      <c r="J1" s="72"/>
      <c r="K1" s="72"/>
      <c r="L1" s="72"/>
      <c r="M1" s="72"/>
      <c r="N1" s="72"/>
      <c r="O1" s="72"/>
      <c r="P1" s="72"/>
      <c r="Q1" s="72"/>
    </row>
    <row r="2" spans="1:18" ht="20.100000000000001" customHeight="1">
      <c r="A2" s="70" t="s">
        <v>542</v>
      </c>
      <c r="B2" s="72"/>
      <c r="C2" s="72"/>
      <c r="D2" s="74" t="s">
        <v>35</v>
      </c>
      <c r="E2" s="72"/>
      <c r="F2" s="72"/>
    </row>
    <row r="3" spans="1:18" ht="20.100000000000001" customHeight="1">
      <c r="A3" s="70" t="s">
        <v>587</v>
      </c>
      <c r="B3" s="72"/>
      <c r="C3" s="72"/>
      <c r="D3" s="74" t="s">
        <v>28</v>
      </c>
      <c r="E3" s="72"/>
      <c r="F3" s="72"/>
    </row>
    <row r="4" spans="1:18" ht="20.100000000000001" customHeight="1">
      <c r="A4" s="70" t="s">
        <v>588</v>
      </c>
      <c r="B4" s="72"/>
      <c r="C4" s="72"/>
      <c r="D4" s="74" t="s">
        <v>29</v>
      </c>
      <c r="E4" s="72"/>
      <c r="F4" s="72"/>
    </row>
    <row r="6" spans="1:18"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8" ht="60.75">
      <c r="A7" s="2">
        <v>12</v>
      </c>
      <c r="B7" s="2" t="s">
        <v>589</v>
      </c>
      <c r="C7" s="29">
        <v>46114</v>
      </c>
      <c r="D7" s="28" t="s">
        <v>132</v>
      </c>
      <c r="E7" s="46">
        <v>56000301</v>
      </c>
      <c r="F7" s="47" t="s">
        <v>590</v>
      </c>
      <c r="G7" s="21" t="s">
        <v>591</v>
      </c>
      <c r="H7" s="48" t="s">
        <v>592</v>
      </c>
      <c r="I7" s="2"/>
      <c r="J7" s="2" t="s">
        <v>9</v>
      </c>
      <c r="K7" s="2"/>
      <c r="L7" s="2"/>
      <c r="M7" s="16"/>
      <c r="N7" s="3"/>
      <c r="O7" s="2"/>
      <c r="P7" s="2" t="s">
        <v>77</v>
      </c>
      <c r="Q7" s="2"/>
    </row>
    <row r="8" spans="1:18" ht="45.75">
      <c r="A8" s="49">
        <v>12</v>
      </c>
      <c r="B8" s="49" t="s">
        <v>589</v>
      </c>
      <c r="C8" s="50">
        <v>46114</v>
      </c>
      <c r="D8" s="28" t="s">
        <v>132</v>
      </c>
      <c r="E8" s="27">
        <v>56000301</v>
      </c>
      <c r="F8" s="5" t="s">
        <v>593</v>
      </c>
      <c r="G8" s="21" t="s">
        <v>594</v>
      </c>
      <c r="H8" s="5" t="s">
        <v>595</v>
      </c>
      <c r="I8" s="5"/>
      <c r="J8" s="49" t="s">
        <v>9</v>
      </c>
      <c r="K8" s="5"/>
      <c r="L8" s="5"/>
      <c r="M8" s="17"/>
      <c r="N8" s="6"/>
      <c r="O8" s="5"/>
      <c r="P8" s="49" t="s">
        <v>77</v>
      </c>
      <c r="Q8" s="49"/>
    </row>
    <row r="9" spans="1:18" ht="33" customHeight="1">
      <c r="A9" s="2">
        <v>12</v>
      </c>
      <c r="B9" s="29" t="s">
        <v>589</v>
      </c>
      <c r="C9" s="29">
        <v>46114</v>
      </c>
      <c r="D9" s="51" t="s">
        <v>132</v>
      </c>
      <c r="E9" s="52">
        <v>56000301</v>
      </c>
      <c r="F9" s="48" t="s">
        <v>596</v>
      </c>
      <c r="G9" s="48" t="s">
        <v>597</v>
      </c>
      <c r="H9" s="48" t="s">
        <v>598</v>
      </c>
      <c r="I9" s="48" t="s">
        <v>599</v>
      </c>
      <c r="J9" s="2" t="s">
        <v>9</v>
      </c>
      <c r="K9" s="2">
        <v>48</v>
      </c>
      <c r="L9" s="2">
        <v>24</v>
      </c>
      <c r="M9" s="16">
        <f>IF(AND(K9&lt;&gt;"",L9&lt;&gt;""),K9-L9,"")</f>
        <v>24</v>
      </c>
      <c r="N9" s="3">
        <f>IF(AND(M9&lt;&gt;"",K9&lt;&gt;"",K9&lt;&gt;0),M9/K9,"")</f>
        <v>0.5</v>
      </c>
      <c r="O9" s="2"/>
      <c r="P9" s="2" t="s">
        <v>77</v>
      </c>
      <c r="Q9" s="2"/>
      <c r="R9" s="44"/>
    </row>
    <row r="10" spans="1:18" ht="409.6">
      <c r="A10" s="5">
        <v>12</v>
      </c>
      <c r="B10" s="57">
        <v>46110</v>
      </c>
      <c r="C10" s="53">
        <v>46057</v>
      </c>
      <c r="D10" s="54" t="s">
        <v>132</v>
      </c>
      <c r="E10" s="55">
        <v>56000301</v>
      </c>
      <c r="F10" s="5" t="s">
        <v>600</v>
      </c>
      <c r="G10" s="5" t="s">
        <v>601</v>
      </c>
      <c r="H10" s="56" t="s">
        <v>598</v>
      </c>
      <c r="I10" s="5" t="s">
        <v>602</v>
      </c>
      <c r="J10" s="56" t="s">
        <v>9</v>
      </c>
      <c r="K10" s="5">
        <v>60</v>
      </c>
      <c r="L10" s="5">
        <v>24</v>
      </c>
      <c r="M10" s="17">
        <f>IF(AND(K10&lt;&gt;"",L10&lt;&gt;""),K10-L10,"")</f>
        <v>36</v>
      </c>
      <c r="N10" s="6">
        <f>IF(AND(M10&lt;&gt;"",K10&lt;&gt;"",K10&lt;&gt;0),M10/K10,"")</f>
        <v>0.6</v>
      </c>
      <c r="O10" s="5"/>
      <c r="P10" s="5" t="s">
        <v>77</v>
      </c>
      <c r="Q10" s="5"/>
    </row>
    <row r="11" spans="1:18" ht="108">
      <c r="A11" s="2">
        <v>13</v>
      </c>
      <c r="B11" s="29">
        <v>46117</v>
      </c>
      <c r="C11" s="53">
        <v>46121</v>
      </c>
      <c r="D11" s="48" t="s">
        <v>603</v>
      </c>
      <c r="E11" s="55">
        <v>56000301</v>
      </c>
      <c r="F11" s="48" t="s">
        <v>604</v>
      </c>
      <c r="G11" s="48" t="s">
        <v>605</v>
      </c>
      <c r="H11" s="48" t="s">
        <v>606</v>
      </c>
      <c r="I11" s="48"/>
      <c r="J11" s="2" t="s">
        <v>607</v>
      </c>
      <c r="K11" s="2">
        <v>48</v>
      </c>
      <c r="L11" s="2">
        <v>24</v>
      </c>
      <c r="M11" s="16">
        <f>IF(AND(K11&lt;&gt;"",L11&lt;&gt;""),K11-L11,"")</f>
        <v>24</v>
      </c>
      <c r="N11" s="3">
        <f>IF(AND(M11&lt;&gt;"",K11&lt;&gt;"",K11&lt;&gt;0),M11/K11,"")</f>
        <v>0.5</v>
      </c>
      <c r="O11" s="2"/>
      <c r="P11" s="2" t="s">
        <v>77</v>
      </c>
      <c r="Q11" s="2"/>
    </row>
    <row r="12" spans="1:18">
      <c r="A12" s="5"/>
      <c r="B12" s="5"/>
      <c r="C12" s="5"/>
      <c r="D12" s="5"/>
      <c r="E12" s="15" t="str">
        <f>IFERROR(VLOOKUP(D12,Projects!$A$3:$B$21,2,FALSE),"")</f>
        <v/>
      </c>
      <c r="F12" s="5"/>
      <c r="G12" s="5"/>
      <c r="H12" s="5"/>
      <c r="I12" s="5"/>
      <c r="J12" s="5"/>
      <c r="K12" s="5"/>
      <c r="L12" s="5"/>
      <c r="M12" s="17" t="str">
        <f t="shared" ref="M8:M46" si="0">IF(AND(K12&lt;&gt;"",L12&lt;&gt;""),K12-L12,"")</f>
        <v/>
      </c>
      <c r="N12" s="6" t="str">
        <f t="shared" ref="N8:N46" si="1">IF(AND(M12&lt;&gt;"",K12&lt;&gt;"",K12&lt;&gt;0),M12/K12,"")</f>
        <v/>
      </c>
      <c r="O12" s="5"/>
      <c r="P12" s="5"/>
      <c r="Q12" s="5"/>
    </row>
    <row r="13" spans="1:18">
      <c r="A13" s="2"/>
      <c r="B13" s="2"/>
      <c r="C13" s="2"/>
      <c r="D13" s="2"/>
      <c r="E13" s="15" t="str">
        <f>IFERROR(VLOOKUP(D13,Projects!$A$3:$B$21,2,FALSE),"")</f>
        <v/>
      </c>
      <c r="F13" s="2"/>
      <c r="G13" s="2"/>
      <c r="H13" s="2"/>
      <c r="I13" s="2"/>
      <c r="J13" s="2"/>
      <c r="K13" s="2"/>
      <c r="L13" s="2"/>
      <c r="M13" s="16" t="str">
        <f t="shared" si="0"/>
        <v/>
      </c>
      <c r="N13" s="3" t="str">
        <f t="shared" si="1"/>
        <v/>
      </c>
      <c r="O13" s="2"/>
      <c r="P13" s="2"/>
      <c r="Q13" s="2"/>
    </row>
    <row r="14" spans="1:18">
      <c r="A14" s="5"/>
      <c r="B14" s="5"/>
      <c r="C14" s="5"/>
      <c r="F14" s="5"/>
      <c r="G14" s="5"/>
      <c r="H14" s="5"/>
      <c r="I14" s="5"/>
      <c r="J14" s="5"/>
      <c r="K14" s="5"/>
      <c r="L14" s="5"/>
      <c r="M14" s="17" t="str">
        <f t="shared" ref="M14" si="2">IF(AND(K14&lt;&gt;"",L14&lt;&gt;""),K14-L14,"")</f>
        <v/>
      </c>
      <c r="N14" s="6" t="str">
        <f t="shared" ref="N14" si="3">IF(AND(M14&lt;&gt;"",K14&lt;&gt;"",K14&lt;&gt;0),M14/K14,"")</f>
        <v/>
      </c>
      <c r="O14" s="5"/>
      <c r="P14" s="5"/>
      <c r="Q14" s="5"/>
    </row>
    <row r="15" spans="1:18">
      <c r="A15" s="2"/>
      <c r="B15" s="2"/>
      <c r="C15" s="2"/>
      <c r="D15" s="2"/>
      <c r="E15" s="15" t="str">
        <f>IFERROR(VLOOKUP(D15,Projects!$A$3:$B$21,2,FALSE),"")</f>
        <v/>
      </c>
      <c r="F15" s="2"/>
      <c r="G15" s="2"/>
      <c r="H15" s="2"/>
      <c r="I15" s="2"/>
      <c r="J15" s="2"/>
      <c r="K15" s="2"/>
      <c r="L15" s="2"/>
      <c r="M15" s="16" t="str">
        <f t="shared" si="0"/>
        <v/>
      </c>
      <c r="N15" s="3" t="str">
        <f t="shared" si="1"/>
        <v/>
      </c>
      <c r="O15" s="2"/>
      <c r="P15" s="2"/>
      <c r="Q15" s="2"/>
    </row>
    <row r="16" spans="1:18">
      <c r="A16" s="5"/>
      <c r="B16" s="5"/>
      <c r="C16" s="5"/>
      <c r="D16" s="5"/>
      <c r="E16" s="15" t="str">
        <f>IFERROR(VLOOKUP(D16,Projects!$A$3:$B$21,2,FALSE),"")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IFERROR(VLOOKUP(D17,Projects!$A$3:$B$21,2,FALSE),"")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IFERROR(VLOOKUP(D18,Projects!$A$3:$B$21,2,FALSE),"")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IFERROR(VLOOKUP(D19,Projects!$A$3:$B$21,2,FALSE),"")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IFERROR(VLOOKUP(D20,Projects!$A$3:$B$21,2,FALSE),"")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IFERROR(VLOOKUP(D21,Projects!$A$3:$B$21,2,FALSE),"")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IFERROR(VLOOKUP(D22,Projects!$A$3:$B$21,2,FALSE),"")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IFERROR(VLOOKUP(D23,Projects!$A$3:$B$21,2,FALSE),"")</f>
        <v/>
      </c>
      <c r="F23" s="2"/>
      <c r="G23" s="2"/>
      <c r="H23" s="2"/>
      <c r="I23" s="2"/>
      <c r="J23" s="2"/>
      <c r="K23" s="2"/>
      <c r="L23" s="2"/>
      <c r="M23" s="16" t="str">
        <f t="shared" si="0"/>
        <v/>
      </c>
      <c r="N23" s="3" t="str">
        <f t="shared" si="1"/>
        <v/>
      </c>
      <c r="O23" s="2"/>
      <c r="P23" s="2"/>
      <c r="Q23" s="2"/>
    </row>
    <row r="24" spans="1:17">
      <c r="A24" s="5"/>
      <c r="B24" s="5"/>
      <c r="C24" s="5"/>
      <c r="D24" s="27" t="s">
        <v>121</v>
      </c>
      <c r="E24" s="27" t="s">
        <v>122</v>
      </c>
      <c r="F24" s="5"/>
      <c r="G24" s="5"/>
      <c r="H24" s="5"/>
      <c r="I24" s="5"/>
      <c r="J24" s="5"/>
      <c r="K24" s="5"/>
      <c r="L24" s="5"/>
      <c r="M24" s="17" t="str">
        <f t="shared" si="0"/>
        <v/>
      </c>
      <c r="N24" s="6" t="str">
        <f t="shared" si="1"/>
        <v/>
      </c>
      <c r="O24" s="5"/>
      <c r="P24" s="5"/>
      <c r="Q24" s="5"/>
    </row>
    <row r="25" spans="1:17">
      <c r="A25" s="2"/>
      <c r="B25" s="2"/>
      <c r="C25" s="2"/>
      <c r="D25" s="2"/>
      <c r="E25" s="15" t="str">
        <f>IFERROR(VLOOKUP(D25,Projects!$A$3:$B$21,2,FALSE),"")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IFERROR(VLOOKUP(D26,Projects!$A$3:$B$21,2,FALSE),"")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IFERROR(VLOOKUP(D27,Projects!$A$3:$B$21,2,FALSE),"")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IFERROR(VLOOKUP(D28,Projects!$A$3:$B$21,2,FALSE),"")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IFERROR(VLOOKUP(D29,Projects!$A$3:$B$21,2,FALSE),"")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IFERROR(VLOOKUP(D30,Projects!$A$3:$B$21,2,FALSE),"")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IFERROR(VLOOKUP(D31,Projects!$A$3:$B$21,2,FALSE),"")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IFERROR(VLOOKUP(D32,Projects!$A$3:$B$21,2,FALSE),"")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IFERROR(VLOOKUP(D33,Projects!$A$3:$B$21,2,FALSE),"")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IFERROR(VLOOKUP(D34,Projects!$A$3:$B$21,2,FALSE),"")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IFERROR(VLOOKUP(D35,Projects!$A$3:$B$21,2,FALSE),"")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IFERROR(VLOOKUP(D36,Projects!$A$3:$B$21,2,FALSE),"")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IFERROR(VLOOKUP(D37,Projects!$A$3:$B$21,2,FALSE),"")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IFERROR(VLOOKUP(D38,Projects!$A$3:$B$21,2,FALSE),"")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IFERROR(VLOOKUP(D39,Projects!$A$3:$B$21,2,FALSE),"")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IFERROR(VLOOKUP(D40,Projects!$A$3:$B$21,2,FALSE),"")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IFERROR(VLOOKUP(D41,Projects!$A$3:$B$21,2,FALSE),"")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IFERROR(VLOOKUP(D42,Projects!$A$3:$B$21,2,FALSE),"")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IFERROR(VLOOKUP(D43,Projects!$A$3:$B$21,2,FALSE),"")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IFERROR(VLOOKUP(D44,Projects!$A$3:$B$21,2,FALSE),"")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IFERROR(VLOOKUP(D45,Projects!$A$3:$B$21,2,FALSE),"")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IFERROR(VLOOKUP(D46,Projects!$A$3:$B$21,2,FALSE),"")</f>
        <v/>
      </c>
      <c r="F46" s="5"/>
      <c r="G46" s="5"/>
      <c r="H46" s="5"/>
      <c r="I46" s="5"/>
      <c r="J46" s="5"/>
      <c r="K46" s="5"/>
      <c r="L46" s="5"/>
      <c r="M46" s="17" t="str">
        <f t="shared" si="0"/>
        <v/>
      </c>
      <c r="N46" s="6" t="str">
        <f t="shared" si="1"/>
        <v/>
      </c>
      <c r="O46" s="5"/>
      <c r="P46" s="5"/>
      <c r="Q46" s="5"/>
    </row>
    <row r="49" spans="1:17">
      <c r="A49" s="71" t="s">
        <v>608</v>
      </c>
      <c r="B49" s="72"/>
      <c r="C49" s="72"/>
      <c r="D49" s="72"/>
      <c r="E49" s="72"/>
      <c r="F49" s="72"/>
      <c r="G49" s="72"/>
      <c r="H49" s="72"/>
      <c r="I49" s="72"/>
      <c r="J49" s="72"/>
      <c r="K49" s="72"/>
      <c r="L49" s="72"/>
      <c r="M49" s="72"/>
      <c r="N49" s="72"/>
      <c r="O49" s="72"/>
      <c r="P49" s="72"/>
      <c r="Q49" s="72"/>
    </row>
    <row r="50" spans="1:17">
      <c r="A50" s="1" t="s">
        <v>576</v>
      </c>
      <c r="B50" s="1" t="s">
        <v>577</v>
      </c>
    </row>
    <row r="51" spans="1:17" ht="27.6">
      <c r="A51" s="18" t="s">
        <v>578</v>
      </c>
      <c r="B51" s="12">
        <f>COUNTA(G7:G46)</f>
        <v>5</v>
      </c>
    </row>
    <row r="52" spans="1:17" ht="41.45">
      <c r="A52" s="18" t="s">
        <v>579</v>
      </c>
      <c r="B52" s="12">
        <f>SUM(K7:K46)</f>
        <v>156</v>
      </c>
    </row>
    <row r="53" spans="1:17" ht="41.45">
      <c r="A53" s="18" t="s">
        <v>580</v>
      </c>
      <c r="B53" s="12">
        <f>SUM(L7:L46)</f>
        <v>72</v>
      </c>
    </row>
    <row r="54" spans="1:17" ht="27.6">
      <c r="A54" s="18" t="s">
        <v>581</v>
      </c>
      <c r="B54" s="12">
        <f>SUM(M7:M46)</f>
        <v>84</v>
      </c>
    </row>
    <row r="55" spans="1:17" ht="41.45">
      <c r="A55" s="18" t="s">
        <v>582</v>
      </c>
      <c r="B55" s="19">
        <f>IFERROR(AVERAGE(N7:N46),"")</f>
        <v>0.53333333333333333</v>
      </c>
    </row>
    <row r="56" spans="1:17" ht="41.45">
      <c r="A56" s="18" t="s">
        <v>583</v>
      </c>
      <c r="B56" s="20" t="str">
        <f>IFERROR(AVERAGE(O7:O46),"")</f>
        <v/>
      </c>
    </row>
    <row r="57" spans="1:17" ht="27.6">
      <c r="A57" s="18" t="s">
        <v>584</v>
      </c>
      <c r="B57" s="12">
        <f>COUNTIF(P7:P46,"Completed")</f>
        <v>5</v>
      </c>
    </row>
    <row r="58" spans="1:17" ht="27.6">
      <c r="A58" s="18" t="s">
        <v>585</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15:D46 D12:D13" xr:uid="{00000000-0002-0000-0300-000001000000}">
      <formula1>ERP_Projects</formula1>
    </dataValidation>
    <dataValidation type="list" allowBlank="1" sqref="P7:P46" xr:uid="{00000000-0002-0000-0300-000003000000}">
      <formula1>"Not Started,In Progress,Completed,On Hold"</formula1>
    </dataValidation>
    <dataValidation type="whole" allowBlank="1" error="Enter a number between 1 and 5." sqref="O7:O46" xr:uid="{00000000-0002-0000-03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300-000002000000}">
          <x14:formula1>
            <xm:f>LOVs!$B$2:$B$7</xm:f>
          </x14:formula1>
          <xm:sqref>I12:I46</xm:sqref>
        </x14:dataValidation>
        <x14:dataValidation type="list" allowBlank="1" errorTitle="Invalid Category" error="Please choose a valid Task Category." promptTitle="Task Category" prompt="Select a task category" xr:uid="{00000000-0002-0000-0300-000000000000}">
          <x14:formula1>
            <xm:f>LOVs!$A$2:$A$7</xm:f>
          </x14:formula1>
          <xm:sqref>H12:H46</xm:sqref>
        </x14:dataValidation>
        <x14:dataValidation type="list" allowBlank="1" showInputMessage="1" showErrorMessage="1" xr:uid="{B09AADE2-1D2C-44FB-9C89-166EA482394B}">
          <x14:formula1>
            <xm:f>'Copliot User Access'!$B:$B</xm:f>
          </x14:formula1>
          <xm:sqref>F12:F46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Q57"/>
  <sheetViews>
    <sheetView topLeftCell="F1" workbookViewId="0">
      <pane ySplit="6" topLeftCell="A33" activePane="bottomLeft" state="frozen"/>
      <selection pane="bottomLeft" activeCell="P31" sqref="P31"/>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67" t="s">
        <v>609</v>
      </c>
      <c r="B1" s="72"/>
      <c r="C1" s="72"/>
      <c r="D1" s="72"/>
      <c r="E1" s="72"/>
      <c r="F1" s="72"/>
      <c r="G1" s="72"/>
      <c r="H1" s="72"/>
      <c r="I1" s="72"/>
      <c r="J1" s="72"/>
      <c r="K1" s="72"/>
      <c r="L1" s="72"/>
      <c r="M1" s="72"/>
      <c r="N1" s="72"/>
      <c r="O1" s="72"/>
      <c r="P1" s="72"/>
      <c r="Q1" s="72"/>
    </row>
    <row r="2" spans="1:17" ht="20.100000000000001" customHeight="1">
      <c r="A2" s="70" t="s">
        <v>542</v>
      </c>
      <c r="B2" s="72"/>
      <c r="C2" s="72"/>
      <c r="D2" s="74" t="s">
        <v>35</v>
      </c>
      <c r="E2" s="72"/>
      <c r="F2" s="72"/>
    </row>
    <row r="3" spans="1:17" ht="20.100000000000001" customHeight="1">
      <c r="A3" s="70" t="s">
        <v>610</v>
      </c>
      <c r="B3" s="72"/>
      <c r="C3" s="72"/>
      <c r="D3" s="74" t="s">
        <v>34</v>
      </c>
      <c r="E3" s="72"/>
      <c r="F3" s="72"/>
    </row>
    <row r="4" spans="1:17" ht="20.100000000000001" customHeight="1">
      <c r="A4" s="70" t="s">
        <v>611</v>
      </c>
      <c r="B4" s="72"/>
      <c r="C4" s="72"/>
      <c r="D4" s="74" t="s">
        <v>35</v>
      </c>
      <c r="E4" s="72"/>
      <c r="F4" s="72"/>
    </row>
    <row r="6" spans="1:17"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7" ht="27.6">
      <c r="A7" s="2">
        <v>1</v>
      </c>
      <c r="B7" s="2" t="s">
        <v>612</v>
      </c>
      <c r="C7" s="2" t="s">
        <v>613</v>
      </c>
      <c r="D7" s="2" t="s">
        <v>124</v>
      </c>
      <c r="E7" s="15" t="str">
        <f>IFERROR(VLOOKUP(D7,Projects!$G$3:$H$21,2,FALSE),"")</f>
        <v>A1023401</v>
      </c>
      <c r="F7" s="2" t="s">
        <v>158</v>
      </c>
      <c r="G7" s="2" t="s">
        <v>614</v>
      </c>
      <c r="H7" s="2" t="s">
        <v>6</v>
      </c>
      <c r="I7" s="2" t="s">
        <v>3</v>
      </c>
      <c r="J7" s="2"/>
      <c r="K7" s="2">
        <v>2</v>
      </c>
      <c r="L7" s="2">
        <v>1.5</v>
      </c>
      <c r="M7" s="16">
        <f t="shared" ref="M7:M45" si="0">IF(AND(K7&lt;&gt;"",L7&lt;&gt;""),K7-L7,"")</f>
        <v>0.5</v>
      </c>
      <c r="N7" s="3">
        <f t="shared" ref="N7:N45" si="1">IF(AND(M7&lt;&gt;"",K7&lt;&gt;"",K7&lt;&gt;0),M7/K7,"")</f>
        <v>0.25</v>
      </c>
      <c r="O7" s="2"/>
      <c r="P7" s="2" t="s">
        <v>77</v>
      </c>
      <c r="Q7" s="2"/>
    </row>
    <row r="8" spans="1:17" ht="27.6">
      <c r="A8" s="5">
        <v>1</v>
      </c>
      <c r="B8" s="5" t="s">
        <v>612</v>
      </c>
      <c r="C8" s="5" t="s">
        <v>613</v>
      </c>
      <c r="D8" s="2" t="s">
        <v>124</v>
      </c>
      <c r="E8" s="15" t="str">
        <f>IFERROR(VLOOKUP(D8,Projects!$G$3:$H$21,2,FALSE),"")</f>
        <v>A1023401</v>
      </c>
      <c r="F8" s="5" t="s">
        <v>158</v>
      </c>
      <c r="G8" s="5" t="s">
        <v>615</v>
      </c>
      <c r="H8" s="5" t="s">
        <v>6</v>
      </c>
      <c r="I8" s="5" t="s">
        <v>3</v>
      </c>
      <c r="J8" s="5"/>
      <c r="K8" s="5">
        <v>4</v>
      </c>
      <c r="L8" s="5">
        <v>3.05</v>
      </c>
      <c r="M8" s="17">
        <f t="shared" si="0"/>
        <v>0.95000000000000018</v>
      </c>
      <c r="N8" s="6">
        <f t="shared" si="1"/>
        <v>0.23750000000000004</v>
      </c>
      <c r="O8" s="5"/>
      <c r="P8" s="5" t="s">
        <v>77</v>
      </c>
      <c r="Q8" s="5"/>
    </row>
    <row r="9" spans="1:17" ht="27.6">
      <c r="A9" s="2">
        <v>1</v>
      </c>
      <c r="B9" s="2" t="s">
        <v>612</v>
      </c>
      <c r="C9" s="2" t="s">
        <v>613</v>
      </c>
      <c r="D9" s="2" t="s">
        <v>124</v>
      </c>
      <c r="E9" s="15" t="str">
        <f>IFERROR(VLOOKUP(D9,Projects!$G$3:$H$21,2,FALSE),"")</f>
        <v>A1023401</v>
      </c>
      <c r="F9" s="2" t="s">
        <v>161</v>
      </c>
      <c r="G9" s="2" t="s">
        <v>616</v>
      </c>
      <c r="H9" s="2" t="s">
        <v>6</v>
      </c>
      <c r="I9" s="2" t="s">
        <v>3</v>
      </c>
      <c r="J9" s="2"/>
      <c r="K9" s="2">
        <v>6</v>
      </c>
      <c r="L9" s="2">
        <v>5</v>
      </c>
      <c r="M9" s="16">
        <f t="shared" si="0"/>
        <v>1</v>
      </c>
      <c r="N9" s="3">
        <f t="shared" si="1"/>
        <v>0.16666666666666666</v>
      </c>
      <c r="O9" s="2"/>
      <c r="P9" s="2" t="s">
        <v>77</v>
      </c>
      <c r="Q9" s="2"/>
    </row>
    <row r="10" spans="1:17" ht="27.6">
      <c r="A10" s="5">
        <v>1</v>
      </c>
      <c r="B10" s="5" t="s">
        <v>612</v>
      </c>
      <c r="C10" s="5" t="s">
        <v>613</v>
      </c>
      <c r="D10" s="2" t="s">
        <v>124</v>
      </c>
      <c r="E10" s="15" t="str">
        <f>IFERROR(VLOOKUP(D10,Projects!$G$3:$H$21,2,FALSE),"")</f>
        <v>A1023401</v>
      </c>
      <c r="F10" s="5" t="s">
        <v>186</v>
      </c>
      <c r="G10" s="5" t="s">
        <v>2</v>
      </c>
      <c r="H10" s="5" t="s">
        <v>2</v>
      </c>
      <c r="I10" s="5" t="s">
        <v>3</v>
      </c>
      <c r="J10" s="5"/>
      <c r="K10" s="5">
        <v>6</v>
      </c>
      <c r="L10" s="5">
        <v>1.4</v>
      </c>
      <c r="M10" s="17">
        <f t="shared" si="0"/>
        <v>4.5999999999999996</v>
      </c>
      <c r="N10" s="6">
        <f t="shared" si="1"/>
        <v>0.76666666666666661</v>
      </c>
      <c r="O10" s="5"/>
      <c r="P10" s="5" t="s">
        <v>77</v>
      </c>
      <c r="Q10" s="5"/>
    </row>
    <row r="11" spans="1:17" ht="27.6">
      <c r="A11" s="2">
        <v>1</v>
      </c>
      <c r="B11" s="2" t="s">
        <v>612</v>
      </c>
      <c r="C11" s="2" t="s">
        <v>613</v>
      </c>
      <c r="D11" s="2" t="s">
        <v>124</v>
      </c>
      <c r="E11" s="15" t="str">
        <f>IFERROR(VLOOKUP(D11,Projects!$G$3:$H$21,2,FALSE),"")</f>
        <v>A1023401</v>
      </c>
      <c r="F11" s="2" t="s">
        <v>186</v>
      </c>
      <c r="G11" s="2" t="s">
        <v>4</v>
      </c>
      <c r="H11" s="2" t="s">
        <v>4</v>
      </c>
      <c r="I11" s="2" t="s">
        <v>3</v>
      </c>
      <c r="J11" s="2"/>
      <c r="K11" s="2">
        <v>2</v>
      </c>
      <c r="L11" s="2">
        <v>0.4</v>
      </c>
      <c r="M11" s="16">
        <f t="shared" si="0"/>
        <v>1.6</v>
      </c>
      <c r="N11" s="3">
        <f t="shared" si="1"/>
        <v>0.8</v>
      </c>
      <c r="O11" s="2"/>
      <c r="P11" s="2" t="s">
        <v>77</v>
      </c>
      <c r="Q11" s="2"/>
    </row>
    <row r="12" spans="1:17" ht="27.6">
      <c r="A12" s="5">
        <v>1</v>
      </c>
      <c r="B12" s="5" t="s">
        <v>612</v>
      </c>
      <c r="C12" s="5" t="s">
        <v>613</v>
      </c>
      <c r="D12" s="2" t="s">
        <v>124</v>
      </c>
      <c r="E12" s="15" t="str">
        <f>IFERROR(VLOOKUP(D12,Projects!$G$3:$H$21,2,FALSE),"")</f>
        <v>A1023401</v>
      </c>
      <c r="F12" s="5" t="s">
        <v>186</v>
      </c>
      <c r="G12" s="5" t="s">
        <v>2</v>
      </c>
      <c r="H12" s="5" t="s">
        <v>2</v>
      </c>
      <c r="I12" s="5" t="s">
        <v>3</v>
      </c>
      <c r="J12" s="5"/>
      <c r="K12" s="5">
        <v>4</v>
      </c>
      <c r="L12" s="5">
        <v>3</v>
      </c>
      <c r="M12" s="17">
        <f t="shared" si="0"/>
        <v>1</v>
      </c>
      <c r="N12" s="6">
        <f t="shared" si="1"/>
        <v>0.25</v>
      </c>
      <c r="O12" s="5"/>
      <c r="P12" s="5" t="s">
        <v>77</v>
      </c>
      <c r="Q12" s="5"/>
    </row>
    <row r="13" spans="1:17" ht="27.6">
      <c r="A13" s="2">
        <v>1</v>
      </c>
      <c r="B13" s="2" t="s">
        <v>612</v>
      </c>
      <c r="C13" s="2" t="s">
        <v>613</v>
      </c>
      <c r="D13" s="2" t="s">
        <v>124</v>
      </c>
      <c r="E13" s="15" t="str">
        <f>IFERROR(VLOOKUP(D13,Projects!$G$3:$H$21,2,FALSE),"")</f>
        <v>A1023401</v>
      </c>
      <c r="F13" s="2" t="s">
        <v>186</v>
      </c>
      <c r="G13" s="2" t="s">
        <v>4</v>
      </c>
      <c r="H13" s="2" t="s">
        <v>4</v>
      </c>
      <c r="I13" s="2" t="s">
        <v>3</v>
      </c>
      <c r="J13" s="2"/>
      <c r="K13" s="2">
        <v>2</v>
      </c>
      <c r="L13" s="2">
        <v>0.5</v>
      </c>
      <c r="M13" s="16">
        <f t="shared" si="0"/>
        <v>1.5</v>
      </c>
      <c r="N13" s="3">
        <f t="shared" si="1"/>
        <v>0.75</v>
      </c>
      <c r="O13" s="2"/>
      <c r="P13" s="2" t="s">
        <v>77</v>
      </c>
      <c r="Q13" s="2"/>
    </row>
    <row r="14" spans="1:17">
      <c r="A14" s="5">
        <v>1</v>
      </c>
      <c r="B14" s="5" t="s">
        <v>612</v>
      </c>
      <c r="C14" s="5" t="s">
        <v>613</v>
      </c>
      <c r="D14" s="5" t="s">
        <v>118</v>
      </c>
      <c r="E14" s="15">
        <f>IFERROR(VLOOKUP(D14,Projects!$G$3:$H$21,2,FALSE),"")</f>
        <v>12135001</v>
      </c>
      <c r="F14" s="5" t="s">
        <v>225</v>
      </c>
      <c r="G14" s="5" t="s">
        <v>10</v>
      </c>
      <c r="H14" s="5" t="s">
        <v>10</v>
      </c>
      <c r="I14" s="5" t="s">
        <v>3</v>
      </c>
      <c r="J14" s="5"/>
      <c r="K14" s="5">
        <v>2</v>
      </c>
      <c r="L14" s="5">
        <v>1.5</v>
      </c>
      <c r="M14" s="17">
        <f t="shared" si="0"/>
        <v>0.5</v>
      </c>
      <c r="N14" s="6">
        <f t="shared" si="1"/>
        <v>0.25</v>
      </c>
      <c r="O14" s="5"/>
      <c r="P14" s="5" t="s">
        <v>77</v>
      </c>
      <c r="Q14" s="5"/>
    </row>
    <row r="15" spans="1:17">
      <c r="A15" s="2">
        <v>1</v>
      </c>
      <c r="B15" s="2" t="s">
        <v>612</v>
      </c>
      <c r="C15" s="2" t="s">
        <v>613</v>
      </c>
      <c r="D15" s="5" t="s">
        <v>118</v>
      </c>
      <c r="E15" s="15">
        <f>IFERROR(VLOOKUP(D15,Projects!$G$3:$H$21,2,FALSE),"")</f>
        <v>12135001</v>
      </c>
      <c r="F15" s="2" t="s">
        <v>225</v>
      </c>
      <c r="G15" s="2" t="s">
        <v>6</v>
      </c>
      <c r="H15" s="2" t="s">
        <v>6</v>
      </c>
      <c r="I15" s="2" t="s">
        <v>3</v>
      </c>
      <c r="J15" s="2"/>
      <c r="K15" s="2">
        <v>8</v>
      </c>
      <c r="L15" s="2">
        <v>6.5</v>
      </c>
      <c r="M15" s="16">
        <f t="shared" si="0"/>
        <v>1.5</v>
      </c>
      <c r="N15" s="3">
        <f t="shared" si="1"/>
        <v>0.1875</v>
      </c>
      <c r="O15" s="2"/>
      <c r="P15" s="2" t="s">
        <v>77</v>
      </c>
      <c r="Q15" s="2"/>
    </row>
    <row r="16" spans="1:17" ht="27.6">
      <c r="A16" s="5">
        <v>1</v>
      </c>
      <c r="B16" s="5" t="s">
        <v>612</v>
      </c>
      <c r="C16" s="5" t="s">
        <v>613</v>
      </c>
      <c r="D16" s="5" t="s">
        <v>118</v>
      </c>
      <c r="E16" s="15">
        <f>IFERROR(VLOOKUP(D16,Projects!$G$3:$H$21,2,FALSE),"")</f>
        <v>12135001</v>
      </c>
      <c r="F16" s="5" t="s">
        <v>186</v>
      </c>
      <c r="G16" s="5" t="s">
        <v>2</v>
      </c>
      <c r="H16" s="5" t="s">
        <v>2</v>
      </c>
      <c r="I16" s="5" t="s">
        <v>3</v>
      </c>
      <c r="J16" s="5"/>
      <c r="K16" s="5">
        <v>4</v>
      </c>
      <c r="L16" s="5">
        <v>3</v>
      </c>
      <c r="M16" s="17">
        <f t="shared" si="0"/>
        <v>1</v>
      </c>
      <c r="N16" s="6">
        <f t="shared" si="1"/>
        <v>0.25</v>
      </c>
      <c r="O16" s="5"/>
      <c r="P16" s="5" t="s">
        <v>77</v>
      </c>
      <c r="Q16" s="5"/>
    </row>
    <row r="17" spans="1:17" ht="27.6">
      <c r="A17" s="2">
        <v>1</v>
      </c>
      <c r="B17" s="2" t="s">
        <v>612</v>
      </c>
      <c r="C17" s="2" t="s">
        <v>613</v>
      </c>
      <c r="D17" s="5" t="s">
        <v>118</v>
      </c>
      <c r="E17" s="15">
        <f>IFERROR(VLOOKUP(D17,Projects!$G$3:$H$21,2,FALSE),"")</f>
        <v>12135001</v>
      </c>
      <c r="F17" s="2" t="s">
        <v>186</v>
      </c>
      <c r="G17" s="2" t="s">
        <v>4</v>
      </c>
      <c r="H17" s="2" t="s">
        <v>4</v>
      </c>
      <c r="I17" s="2" t="s">
        <v>3</v>
      </c>
      <c r="J17" s="2"/>
      <c r="K17" s="2">
        <v>2</v>
      </c>
      <c r="L17" s="2">
        <v>0.5</v>
      </c>
      <c r="M17" s="16">
        <f t="shared" si="0"/>
        <v>1.5</v>
      </c>
      <c r="N17" s="3">
        <f t="shared" si="1"/>
        <v>0.75</v>
      </c>
      <c r="O17" s="2"/>
      <c r="P17" s="2" t="s">
        <v>77</v>
      </c>
      <c r="Q17" s="2"/>
    </row>
    <row r="18" spans="1:17" ht="27.6">
      <c r="A18" s="5">
        <v>2</v>
      </c>
      <c r="B18" s="5" t="s">
        <v>565</v>
      </c>
      <c r="C18" s="5" t="s">
        <v>566</v>
      </c>
      <c r="D18" s="5" t="s">
        <v>124</v>
      </c>
      <c r="E18" s="15" t="str">
        <f>IFERROR(VLOOKUP(D18,Projects!$G$3:$H$21,2,FALSE),"")</f>
        <v>A1023401</v>
      </c>
      <c r="F18" s="2" t="s">
        <v>158</v>
      </c>
      <c r="G18" s="5"/>
      <c r="H18" s="5" t="s">
        <v>6</v>
      </c>
      <c r="I18" s="5" t="s">
        <v>3</v>
      </c>
      <c r="J18" s="5"/>
      <c r="K18" s="5"/>
      <c r="L18" s="5"/>
      <c r="M18" s="17" t="str">
        <f t="shared" si="0"/>
        <v/>
      </c>
      <c r="N18" s="6" t="str">
        <f t="shared" si="1"/>
        <v/>
      </c>
      <c r="O18" s="5"/>
      <c r="P18" s="5"/>
      <c r="Q18" s="5"/>
    </row>
    <row r="19" spans="1:17" ht="27.6">
      <c r="A19" s="2">
        <v>2</v>
      </c>
      <c r="B19" s="2" t="s">
        <v>565</v>
      </c>
      <c r="C19" s="2" t="s">
        <v>566</v>
      </c>
      <c r="D19" s="2" t="s">
        <v>124</v>
      </c>
      <c r="E19" s="15" t="str">
        <f>IFERROR(VLOOKUP(D19,Projects!$G$3:$H$21,2,FALSE),"")</f>
        <v>A1023401</v>
      </c>
      <c r="F19" s="5" t="s">
        <v>158</v>
      </c>
      <c r="G19" s="2"/>
      <c r="H19" s="2" t="s">
        <v>6</v>
      </c>
      <c r="I19" s="2" t="s">
        <v>3</v>
      </c>
      <c r="J19" s="2"/>
      <c r="K19" s="2"/>
      <c r="L19" s="2"/>
      <c r="M19" s="16" t="str">
        <f t="shared" si="0"/>
        <v/>
      </c>
      <c r="N19" s="3" t="str">
        <f t="shared" si="1"/>
        <v/>
      </c>
      <c r="O19" s="2"/>
      <c r="P19" s="2"/>
      <c r="Q19" s="2"/>
    </row>
    <row r="20" spans="1:17" ht="27.6">
      <c r="A20" s="5">
        <v>2</v>
      </c>
      <c r="B20" s="5" t="s">
        <v>565</v>
      </c>
      <c r="C20" s="5" t="s">
        <v>566</v>
      </c>
      <c r="D20" s="5" t="s">
        <v>124</v>
      </c>
      <c r="E20" s="15" t="str">
        <f>IFERROR(VLOOKUP(D20,Projects!$G$3:$H$21,2,FALSE),"")</f>
        <v>A1023401</v>
      </c>
      <c r="F20" s="2" t="s">
        <v>161</v>
      </c>
      <c r="G20" s="5"/>
      <c r="H20" s="5" t="s">
        <v>6</v>
      </c>
      <c r="I20" s="5" t="s">
        <v>3</v>
      </c>
      <c r="J20" s="5"/>
      <c r="K20" s="5"/>
      <c r="L20" s="5"/>
      <c r="M20" s="17" t="str">
        <f t="shared" si="0"/>
        <v/>
      </c>
      <c r="N20" s="6" t="str">
        <f t="shared" si="1"/>
        <v/>
      </c>
      <c r="O20" s="5"/>
      <c r="P20" s="5"/>
      <c r="Q20" s="5"/>
    </row>
    <row r="21" spans="1:17" ht="27.6">
      <c r="A21" s="2">
        <v>2</v>
      </c>
      <c r="B21" s="2" t="s">
        <v>565</v>
      </c>
      <c r="C21" s="2" t="s">
        <v>566</v>
      </c>
      <c r="D21" s="2" t="s">
        <v>124</v>
      </c>
      <c r="E21" s="15" t="str">
        <f>IFERROR(VLOOKUP(D21,Projects!$G$3:$H$21,2,FALSE),"")</f>
        <v>A1023401</v>
      </c>
      <c r="F21" s="5" t="s">
        <v>186</v>
      </c>
      <c r="G21" s="5" t="s">
        <v>2</v>
      </c>
      <c r="H21" s="2" t="s">
        <v>2</v>
      </c>
      <c r="I21" s="2" t="s">
        <v>3</v>
      </c>
      <c r="J21" s="2"/>
      <c r="K21" s="2">
        <v>3</v>
      </c>
      <c r="L21" s="2">
        <v>0.5</v>
      </c>
      <c r="M21" s="16">
        <f t="shared" si="0"/>
        <v>2.5</v>
      </c>
      <c r="N21" s="3">
        <f t="shared" si="1"/>
        <v>0.83333333333333337</v>
      </c>
      <c r="O21" s="2"/>
      <c r="P21" s="2" t="s">
        <v>77</v>
      </c>
      <c r="Q21" s="2"/>
    </row>
    <row r="22" spans="1:17" ht="27.6">
      <c r="A22" s="2">
        <v>2</v>
      </c>
      <c r="B22" s="2" t="s">
        <v>565</v>
      </c>
      <c r="C22" s="2" t="s">
        <v>566</v>
      </c>
      <c r="D22" s="2" t="s">
        <v>124</v>
      </c>
      <c r="E22" s="15" t="str">
        <f>IFERROR(VLOOKUP(D22,Projects!$G$3:$H$21,2,FALSE),"")</f>
        <v>A1023401</v>
      </c>
      <c r="F22" s="5" t="s">
        <v>186</v>
      </c>
      <c r="G22" s="2" t="s">
        <v>4</v>
      </c>
      <c r="H22" s="2" t="s">
        <v>2</v>
      </c>
      <c r="I22" s="2" t="s">
        <v>3</v>
      </c>
      <c r="J22" s="2"/>
      <c r="K22" s="2">
        <v>3</v>
      </c>
      <c r="L22" s="2">
        <v>2.5</v>
      </c>
      <c r="M22" s="16">
        <f t="shared" si="0"/>
        <v>0.5</v>
      </c>
      <c r="N22" s="3">
        <f t="shared" si="1"/>
        <v>0.16666666666666666</v>
      </c>
      <c r="O22" s="2"/>
      <c r="P22" s="2" t="s">
        <v>77</v>
      </c>
      <c r="Q22" s="2"/>
    </row>
    <row r="23" spans="1:17" ht="27.6">
      <c r="A23" s="5">
        <v>2</v>
      </c>
      <c r="B23" s="5" t="s">
        <v>565</v>
      </c>
      <c r="C23" s="5" t="s">
        <v>566</v>
      </c>
      <c r="D23" s="5" t="s">
        <v>124</v>
      </c>
      <c r="E23" s="15" t="str">
        <f>IFERROR(VLOOKUP(D23,Projects!$G$3:$H$21,2,FALSE),"")</f>
        <v>A1023401</v>
      </c>
      <c r="F23" s="2" t="s">
        <v>186</v>
      </c>
      <c r="G23" s="5" t="s">
        <v>2</v>
      </c>
      <c r="H23" s="5" t="s">
        <v>4</v>
      </c>
      <c r="I23" s="5" t="s">
        <v>3</v>
      </c>
      <c r="J23" s="5"/>
      <c r="K23" s="5">
        <v>3</v>
      </c>
      <c r="L23" s="5">
        <v>1</v>
      </c>
      <c r="M23" s="17">
        <f t="shared" si="0"/>
        <v>2</v>
      </c>
      <c r="N23" s="6">
        <f t="shared" si="1"/>
        <v>0.66666666666666663</v>
      </c>
      <c r="O23" s="5"/>
      <c r="P23" s="5" t="s">
        <v>77</v>
      </c>
      <c r="Q23" s="5"/>
    </row>
    <row r="24" spans="1:17">
      <c r="A24" s="2">
        <v>2</v>
      </c>
      <c r="B24" s="2" t="s">
        <v>565</v>
      </c>
      <c r="C24" s="2" t="s">
        <v>566</v>
      </c>
      <c r="D24" s="2" t="s">
        <v>118</v>
      </c>
      <c r="E24" s="15">
        <f>IFERROR(VLOOKUP(D24,Projects!$G$3:$H$21,2,FALSE),"")</f>
        <v>12135001</v>
      </c>
      <c r="F24" s="5" t="s">
        <v>225</v>
      </c>
      <c r="G24" s="5" t="s">
        <v>10</v>
      </c>
      <c r="H24" s="2" t="s">
        <v>10</v>
      </c>
      <c r="I24" s="2" t="s">
        <v>3</v>
      </c>
      <c r="J24" s="2"/>
      <c r="K24" s="2">
        <v>3</v>
      </c>
      <c r="L24" s="2">
        <v>2</v>
      </c>
      <c r="M24" s="16">
        <f t="shared" si="0"/>
        <v>1</v>
      </c>
      <c r="N24" s="3">
        <f t="shared" si="1"/>
        <v>0.33333333333333331</v>
      </c>
      <c r="O24" s="2"/>
      <c r="P24" s="2" t="s">
        <v>77</v>
      </c>
      <c r="Q24" s="2"/>
    </row>
    <row r="25" spans="1:17">
      <c r="A25" s="5">
        <v>2</v>
      </c>
      <c r="B25" s="5" t="s">
        <v>565</v>
      </c>
      <c r="C25" s="5" t="s">
        <v>566</v>
      </c>
      <c r="D25" s="5" t="s">
        <v>118</v>
      </c>
      <c r="E25" s="15">
        <f>IFERROR(VLOOKUP(D25,Projects!$G$3:$H$21,2,FALSE),"")</f>
        <v>12135001</v>
      </c>
      <c r="F25" s="2" t="s">
        <v>225</v>
      </c>
      <c r="G25" s="2" t="s">
        <v>6</v>
      </c>
      <c r="H25" s="5" t="s">
        <v>6</v>
      </c>
      <c r="I25" s="5" t="s">
        <v>3</v>
      </c>
      <c r="J25" s="5"/>
      <c r="K25" s="5">
        <v>2</v>
      </c>
      <c r="L25" s="5">
        <v>1.5</v>
      </c>
      <c r="M25" s="17">
        <f t="shared" si="0"/>
        <v>0.5</v>
      </c>
      <c r="N25" s="6">
        <f t="shared" si="1"/>
        <v>0.25</v>
      </c>
      <c r="O25" s="5"/>
      <c r="P25" s="5" t="s">
        <v>77</v>
      </c>
      <c r="Q25" s="5"/>
    </row>
    <row r="26" spans="1:17" ht="27.6">
      <c r="A26" s="2">
        <v>2</v>
      </c>
      <c r="B26" s="2" t="s">
        <v>565</v>
      </c>
      <c r="C26" s="2" t="s">
        <v>566</v>
      </c>
      <c r="D26" s="2" t="s">
        <v>118</v>
      </c>
      <c r="E26" s="15">
        <f>IFERROR(VLOOKUP(D26,Projects!$G$3:$H$21,2,FALSE),"")</f>
        <v>12135001</v>
      </c>
      <c r="F26" s="5" t="s">
        <v>186</v>
      </c>
      <c r="G26" s="5" t="s">
        <v>2</v>
      </c>
      <c r="H26" s="2" t="s">
        <v>2</v>
      </c>
      <c r="I26" s="2" t="s">
        <v>3</v>
      </c>
      <c r="J26" s="2"/>
      <c r="K26" s="2">
        <v>3</v>
      </c>
      <c r="L26" s="2">
        <v>2.5</v>
      </c>
      <c r="M26" s="16">
        <f t="shared" si="0"/>
        <v>0.5</v>
      </c>
      <c r="N26" s="3">
        <f t="shared" si="1"/>
        <v>0.16666666666666666</v>
      </c>
      <c r="O26" s="2"/>
      <c r="P26" s="2" t="s">
        <v>77</v>
      </c>
      <c r="Q26" s="2"/>
    </row>
    <row r="27" spans="1:17" ht="27.6">
      <c r="A27" s="5">
        <v>2</v>
      </c>
      <c r="B27" s="5" t="s">
        <v>565</v>
      </c>
      <c r="C27" s="5" t="s">
        <v>566</v>
      </c>
      <c r="D27" s="5" t="s">
        <v>118</v>
      </c>
      <c r="E27" s="15">
        <f>IFERROR(VLOOKUP(D27,Projects!$G$3:$H$21,2,FALSE),"")</f>
        <v>12135001</v>
      </c>
      <c r="F27" s="2" t="s">
        <v>186</v>
      </c>
      <c r="G27" s="2" t="s">
        <v>4</v>
      </c>
      <c r="H27" s="5" t="s">
        <v>4</v>
      </c>
      <c r="I27" s="5" t="s">
        <v>3</v>
      </c>
      <c r="J27" s="5"/>
      <c r="K27" s="5">
        <v>3</v>
      </c>
      <c r="L27" s="5">
        <v>1</v>
      </c>
      <c r="M27" s="17">
        <f t="shared" si="0"/>
        <v>2</v>
      </c>
      <c r="N27" s="6">
        <f t="shared" si="1"/>
        <v>0.66666666666666663</v>
      </c>
      <c r="O27" s="5"/>
      <c r="P27" s="5" t="s">
        <v>77</v>
      </c>
      <c r="Q27" s="5"/>
    </row>
    <row r="28" spans="1:17" ht="27">
      <c r="A28" s="2">
        <v>6</v>
      </c>
      <c r="B28" s="2" t="s">
        <v>617</v>
      </c>
      <c r="C28" s="2" t="s">
        <v>618</v>
      </c>
      <c r="D28" s="2" t="s">
        <v>124</v>
      </c>
      <c r="E28" s="15" t="str">
        <f>IFERROR(VLOOKUP(D28,Projects!$G$3:$H$21,2,FALSE),"")</f>
        <v>A1023401</v>
      </c>
      <c r="F28" s="2" t="s">
        <v>153</v>
      </c>
      <c r="G28" s="2" t="s">
        <v>10</v>
      </c>
      <c r="H28" s="2" t="s">
        <v>10</v>
      </c>
      <c r="I28" s="2" t="s">
        <v>9</v>
      </c>
      <c r="J28" s="2"/>
      <c r="K28" s="2">
        <v>8</v>
      </c>
      <c r="L28" s="2">
        <v>2</v>
      </c>
      <c r="M28" s="16">
        <f t="shared" si="0"/>
        <v>6</v>
      </c>
      <c r="N28" s="3">
        <f t="shared" si="1"/>
        <v>0.75</v>
      </c>
      <c r="O28" s="2"/>
      <c r="P28" s="2" t="s">
        <v>77</v>
      </c>
      <c r="Q28" s="2"/>
    </row>
    <row r="29" spans="1:17" ht="53.25">
      <c r="A29" s="5">
        <v>6</v>
      </c>
      <c r="B29" s="5" t="s">
        <v>617</v>
      </c>
      <c r="C29" s="5" t="s">
        <v>618</v>
      </c>
      <c r="D29" s="5" t="s">
        <v>118</v>
      </c>
      <c r="E29" s="15">
        <f>IFERROR(VLOOKUP(D29,Projects!$G$3:$H$21,2,FALSE),"")</f>
        <v>12135001</v>
      </c>
      <c r="F29" s="5" t="s">
        <v>225</v>
      </c>
      <c r="G29" s="5" t="s">
        <v>2</v>
      </c>
      <c r="H29" s="5" t="s">
        <v>2</v>
      </c>
      <c r="I29" s="5" t="s">
        <v>3</v>
      </c>
      <c r="J29" s="5"/>
      <c r="K29" s="5">
        <v>8</v>
      </c>
      <c r="L29" s="5">
        <v>6</v>
      </c>
      <c r="M29" s="17">
        <f t="shared" si="0"/>
        <v>2</v>
      </c>
      <c r="N29" s="6">
        <f t="shared" si="1"/>
        <v>0.25</v>
      </c>
      <c r="O29" s="5"/>
      <c r="P29" s="2" t="s">
        <v>77</v>
      </c>
      <c r="Q29" s="5" t="s">
        <v>619</v>
      </c>
    </row>
    <row r="30" spans="1:17" ht="15">
      <c r="A30" s="2">
        <v>7</v>
      </c>
      <c r="B30" s="2" t="s">
        <v>620</v>
      </c>
      <c r="C30" s="29">
        <v>46057</v>
      </c>
      <c r="D30" s="5" t="s">
        <v>118</v>
      </c>
      <c r="E30" s="15">
        <f>IFERROR(VLOOKUP(D30,Projects!$G$3:$H$21,2,FALSE),"")</f>
        <v>12135001</v>
      </c>
      <c r="F30" s="5" t="s">
        <v>225</v>
      </c>
      <c r="G30" s="5" t="s">
        <v>6</v>
      </c>
      <c r="H30" s="2" t="s">
        <v>6</v>
      </c>
      <c r="I30" s="2" t="s">
        <v>9</v>
      </c>
      <c r="J30" s="2"/>
      <c r="K30" s="2">
        <v>8</v>
      </c>
      <c r="L30" s="2">
        <v>7</v>
      </c>
      <c r="M30" s="16">
        <f t="shared" si="0"/>
        <v>1</v>
      </c>
      <c r="N30" s="3">
        <f t="shared" si="1"/>
        <v>0.125</v>
      </c>
      <c r="O30" s="2"/>
      <c r="P30" s="2" t="s">
        <v>77</v>
      </c>
      <c r="Q30" s="2" t="s">
        <v>621</v>
      </c>
    </row>
    <row r="31" spans="1:17" ht="14.25">
      <c r="A31" s="5">
        <v>7</v>
      </c>
      <c r="B31" s="2" t="s">
        <v>620</v>
      </c>
      <c r="C31" s="29">
        <v>46057</v>
      </c>
      <c r="D31" s="5" t="s">
        <v>118</v>
      </c>
      <c r="E31" s="15">
        <f>IFERROR(VLOOKUP(D31,Projects!$G$3:$H$21,2,FALSE),"")</f>
        <v>12135001</v>
      </c>
      <c r="F31" s="5" t="s">
        <v>225</v>
      </c>
      <c r="G31" t="s">
        <v>10</v>
      </c>
      <c r="H31" s="5" t="s">
        <v>10</v>
      </c>
      <c r="I31" s="5" t="s">
        <v>9</v>
      </c>
      <c r="J31" s="5"/>
      <c r="K31" s="5">
        <v>8</v>
      </c>
      <c r="L31" s="5">
        <v>5</v>
      </c>
      <c r="M31" s="17">
        <f t="shared" si="0"/>
        <v>3</v>
      </c>
      <c r="N31" s="6">
        <f t="shared" si="1"/>
        <v>0.375</v>
      </c>
      <c r="O31" s="5"/>
      <c r="P31" s="5" t="s">
        <v>77</v>
      </c>
      <c r="Q31" s="5"/>
    </row>
    <row r="32" spans="1:17" ht="27">
      <c r="A32" s="2">
        <v>7</v>
      </c>
      <c r="B32" s="2" t="s">
        <v>620</v>
      </c>
      <c r="C32" s="29">
        <v>46057</v>
      </c>
      <c r="D32" s="2" t="s">
        <v>124</v>
      </c>
      <c r="E32" s="15" t="str">
        <f>IFERROR(VLOOKUP(D32,Projects!$G$3:$H$21,2,FALSE),"")</f>
        <v>A1023401</v>
      </c>
      <c r="F32" s="5" t="s">
        <v>186</v>
      </c>
      <c r="G32" s="5" t="s">
        <v>2</v>
      </c>
      <c r="H32" s="2" t="s">
        <v>2</v>
      </c>
      <c r="I32" s="2" t="s">
        <v>3</v>
      </c>
      <c r="J32" s="2"/>
      <c r="K32" s="2">
        <v>7</v>
      </c>
      <c r="L32" s="2">
        <v>1.5</v>
      </c>
      <c r="M32" s="16">
        <f t="shared" ref="M32" si="2">IF(AND(K32&lt;&gt;"",L32&lt;&gt;""),K32-L32,"")</f>
        <v>5.5</v>
      </c>
      <c r="N32" s="3">
        <f t="shared" ref="N32" si="3">IF(AND(M32&lt;&gt;"",K32&lt;&gt;"",K32&lt;&gt;0),M32/K32,"")</f>
        <v>0.7857142857142857</v>
      </c>
      <c r="O32" s="2"/>
      <c r="P32" s="2" t="s">
        <v>77</v>
      </c>
      <c r="Q32" s="2"/>
    </row>
    <row r="33" spans="1:17" ht="27">
      <c r="A33" s="2">
        <v>7</v>
      </c>
      <c r="B33" s="2" t="s">
        <v>620</v>
      </c>
      <c r="C33" s="29">
        <v>46057</v>
      </c>
      <c r="D33" s="2" t="s">
        <v>124</v>
      </c>
      <c r="E33" s="15" t="str">
        <f>IFERROR(VLOOKUP(D33,Projects!$G$3:$H$21,2,FALSE),"")</f>
        <v>A1023401</v>
      </c>
      <c r="F33" s="5" t="s">
        <v>186</v>
      </c>
      <c r="G33" s="5" t="s">
        <v>2</v>
      </c>
      <c r="H33" s="2" t="s">
        <v>2</v>
      </c>
      <c r="I33" s="2" t="s">
        <v>9</v>
      </c>
      <c r="J33" s="2"/>
      <c r="K33" s="2">
        <v>10</v>
      </c>
      <c r="L33" s="2">
        <v>2</v>
      </c>
      <c r="M33" s="16">
        <f t="shared" ref="M33" si="4">IF(AND(K33&lt;&gt;"",L33&lt;&gt;""),K33-L33,"")</f>
        <v>8</v>
      </c>
      <c r="N33" s="3">
        <f t="shared" ref="N33" si="5">IF(AND(M33&lt;&gt;"",K33&lt;&gt;"",K33&lt;&gt;0),M33/K33,"")</f>
        <v>0.8</v>
      </c>
      <c r="O33" s="2"/>
      <c r="P33" s="2" t="s">
        <v>77</v>
      </c>
      <c r="Q33" s="2" t="s">
        <v>622</v>
      </c>
    </row>
    <row r="34" spans="1:17" ht="27">
      <c r="A34" s="2">
        <v>7</v>
      </c>
      <c r="B34" s="2" t="s">
        <v>620</v>
      </c>
      <c r="C34" s="29">
        <v>46057</v>
      </c>
      <c r="D34" s="2" t="s">
        <v>124</v>
      </c>
      <c r="E34" s="15" t="str">
        <f>IFERROR(VLOOKUP(D34,Projects!$G$3:$H$21,2,FALSE),"")</f>
        <v>A1023401</v>
      </c>
      <c r="F34" s="5" t="s">
        <v>186</v>
      </c>
      <c r="G34" s="5" t="s">
        <v>623</v>
      </c>
      <c r="H34" s="38" t="s">
        <v>623</v>
      </c>
      <c r="I34" s="2" t="s">
        <v>624</v>
      </c>
      <c r="J34" s="2"/>
      <c r="K34" s="2">
        <v>4</v>
      </c>
      <c r="L34" s="2">
        <v>0.5</v>
      </c>
      <c r="M34" s="16">
        <f t="shared" ref="M34" si="6">IF(AND(K34&lt;&gt;"",L34&lt;&gt;""),K34-L34,"")</f>
        <v>3.5</v>
      </c>
      <c r="N34" s="3">
        <f t="shared" ref="N34" si="7">IF(AND(M34&lt;&gt;"",K34&lt;&gt;"",K34&lt;&gt;0),M34/K34,"")</f>
        <v>0.875</v>
      </c>
      <c r="O34" s="2"/>
      <c r="P34" s="2" t="s">
        <v>77</v>
      </c>
      <c r="Q34" s="2"/>
    </row>
    <row r="35" spans="1:17" ht="15">
      <c r="A35" s="5">
        <v>7</v>
      </c>
      <c r="B35" s="2" t="s">
        <v>620</v>
      </c>
      <c r="C35" s="29">
        <v>46057</v>
      </c>
      <c r="D35" s="5" t="s">
        <v>625</v>
      </c>
      <c r="E35" s="15" t="s">
        <v>626</v>
      </c>
      <c r="F35" s="5" t="s">
        <v>153</v>
      </c>
      <c r="G35" s="5" t="s">
        <v>627</v>
      </c>
      <c r="H35" s="5" t="s">
        <v>6</v>
      </c>
      <c r="I35" s="5" t="s">
        <v>3</v>
      </c>
      <c r="J35" s="5"/>
      <c r="K35" s="5">
        <v>6</v>
      </c>
      <c r="L35" s="5">
        <v>2</v>
      </c>
      <c r="M35" s="17">
        <f t="shared" si="0"/>
        <v>4</v>
      </c>
      <c r="N35" s="6">
        <f t="shared" si="1"/>
        <v>0.66666666666666663</v>
      </c>
      <c r="O35" s="5">
        <v>4</v>
      </c>
      <c r="P35" s="5" t="s">
        <v>77</v>
      </c>
      <c r="Q35" s="5"/>
    </row>
    <row r="36" spans="1:17" ht="15">
      <c r="A36" s="5">
        <v>7</v>
      </c>
      <c r="B36" s="2" t="s">
        <v>620</v>
      </c>
      <c r="C36" s="29">
        <v>46057</v>
      </c>
      <c r="D36" s="5" t="s">
        <v>628</v>
      </c>
      <c r="E36" s="15" t="s">
        <v>626</v>
      </c>
      <c r="F36" s="5" t="s">
        <v>153</v>
      </c>
      <c r="G36" s="5" t="s">
        <v>629</v>
      </c>
      <c r="H36" s="5" t="s">
        <v>6</v>
      </c>
      <c r="I36" s="5" t="s">
        <v>3</v>
      </c>
      <c r="J36" s="5"/>
      <c r="K36" s="5">
        <v>7</v>
      </c>
      <c r="L36" s="5">
        <v>1</v>
      </c>
      <c r="M36" s="17">
        <f t="shared" ref="M36:M37" si="8">IF(AND(K36&lt;&gt;"",L36&lt;&gt;""),K36-L36,"")</f>
        <v>6</v>
      </c>
      <c r="N36" s="6">
        <f t="shared" ref="N36:N37" si="9">IF(AND(M36&lt;&gt;"",K36&lt;&gt;"",K36&lt;&gt;0),M36/K36,"")</f>
        <v>0.8571428571428571</v>
      </c>
      <c r="O36" s="5">
        <v>4</v>
      </c>
      <c r="P36" s="5" t="s">
        <v>77</v>
      </c>
      <c r="Q36" s="5"/>
    </row>
    <row r="37" spans="1:17" ht="40.5">
      <c r="A37" s="5">
        <v>8</v>
      </c>
      <c r="B37" s="29">
        <v>46146</v>
      </c>
      <c r="C37" s="29">
        <v>46269</v>
      </c>
      <c r="D37" s="5" t="s">
        <v>630</v>
      </c>
      <c r="E37" s="15" t="s">
        <v>631</v>
      </c>
      <c r="F37" s="5" t="s">
        <v>153</v>
      </c>
      <c r="G37" s="5" t="s">
        <v>632</v>
      </c>
      <c r="H37" s="5" t="s">
        <v>6</v>
      </c>
      <c r="I37" s="5" t="s">
        <v>3</v>
      </c>
      <c r="J37" s="5" t="s">
        <v>633</v>
      </c>
      <c r="K37" s="5">
        <v>12</v>
      </c>
      <c r="L37" s="5">
        <v>2</v>
      </c>
      <c r="M37" s="17">
        <f t="shared" si="8"/>
        <v>10</v>
      </c>
      <c r="N37" s="6">
        <f t="shared" si="9"/>
        <v>0.83333333333333337</v>
      </c>
      <c r="O37" s="5">
        <v>4</v>
      </c>
      <c r="P37" s="5" t="s">
        <v>77</v>
      </c>
      <c r="Q37" s="5"/>
    </row>
    <row r="38" spans="1:17" ht="53.25">
      <c r="A38" s="5">
        <v>8</v>
      </c>
      <c r="B38" s="29">
        <v>46146</v>
      </c>
      <c r="C38" s="29">
        <v>46269</v>
      </c>
      <c r="D38" s="5" t="s">
        <v>139</v>
      </c>
      <c r="E38" s="15" t="s">
        <v>631</v>
      </c>
      <c r="F38" s="5" t="s">
        <v>153</v>
      </c>
      <c r="G38" s="5" t="s">
        <v>634</v>
      </c>
      <c r="H38" s="5" t="s">
        <v>6</v>
      </c>
      <c r="I38" s="5" t="s">
        <v>9</v>
      </c>
      <c r="J38" s="5" t="s">
        <v>635</v>
      </c>
      <c r="K38" s="5">
        <v>20</v>
      </c>
      <c r="L38" s="5">
        <v>6</v>
      </c>
      <c r="M38" s="17">
        <f t="shared" ref="M38" si="10">IF(AND(K38&lt;&gt;"",L38&lt;&gt;""),K38-L38,"")</f>
        <v>14</v>
      </c>
      <c r="N38" s="6">
        <f t="shared" ref="N38" si="11">IF(AND(M38&lt;&gt;"",K38&lt;&gt;"",K38&lt;&gt;0),M38/K38,"")</f>
        <v>0.7</v>
      </c>
      <c r="O38" s="5">
        <v>4.8</v>
      </c>
      <c r="P38" s="5" t="s">
        <v>77</v>
      </c>
      <c r="Q38" s="5"/>
    </row>
    <row r="39" spans="1:17">
      <c r="A39" s="5"/>
      <c r="B39" s="5"/>
      <c r="C39" s="5"/>
      <c r="D39" s="5"/>
      <c r="E39" s="15" t="str">
        <f>IFERROR(VLOOKUP(D39,Projects!$G$3:$H$21,2,FALSE),"")</f>
        <v/>
      </c>
      <c r="F39" s="5"/>
      <c r="G39" s="5"/>
      <c r="H39" s="5"/>
      <c r="I39" s="5"/>
      <c r="J39" s="5"/>
      <c r="K39" s="5"/>
      <c r="L39" s="5"/>
      <c r="M39" s="17" t="str">
        <f t="shared" si="0"/>
        <v/>
      </c>
      <c r="N39" s="6" t="str">
        <f t="shared" si="1"/>
        <v/>
      </c>
      <c r="O39" s="5"/>
      <c r="P39" s="5"/>
      <c r="Q39" s="5"/>
    </row>
    <row r="40" spans="1:17">
      <c r="A40" s="2"/>
      <c r="B40" s="2"/>
      <c r="C40" s="2"/>
      <c r="D40" s="2"/>
      <c r="E40" s="15" t="str">
        <f>IFERROR(VLOOKUP(D40,Projects!$G$3:$H$21,2,FALSE),"")</f>
        <v/>
      </c>
      <c r="F40" s="2"/>
      <c r="G40" s="2"/>
      <c r="H40" s="2"/>
      <c r="I40" s="2"/>
      <c r="J40" s="2"/>
      <c r="K40" s="2"/>
      <c r="L40" s="2"/>
      <c r="M40" s="16" t="str">
        <f t="shared" si="0"/>
        <v/>
      </c>
      <c r="N40" s="3" t="str">
        <f t="shared" si="1"/>
        <v/>
      </c>
      <c r="O40" s="2"/>
      <c r="P40" s="2"/>
      <c r="Q40" s="2"/>
    </row>
    <row r="41" spans="1:17">
      <c r="A41" s="5"/>
      <c r="B41" s="5"/>
      <c r="C41" s="5"/>
      <c r="D41" s="5"/>
      <c r="E41" s="15" t="str">
        <f>IFERROR(VLOOKUP(D41,Projects!$G$3:$H$21,2,FALSE),"")</f>
        <v/>
      </c>
      <c r="F41" s="5"/>
      <c r="G41" s="5"/>
      <c r="H41" s="5"/>
      <c r="I41" s="5"/>
      <c r="J41" s="5"/>
      <c r="K41" s="5"/>
      <c r="L41" s="5"/>
      <c r="M41" s="17" t="str">
        <f t="shared" si="0"/>
        <v/>
      </c>
      <c r="N41" s="6" t="str">
        <f t="shared" si="1"/>
        <v/>
      </c>
      <c r="O41" s="5"/>
      <c r="P41" s="5"/>
      <c r="Q41" s="5"/>
    </row>
    <row r="42" spans="1:17">
      <c r="A42" s="2"/>
      <c r="B42" s="2"/>
      <c r="C42" s="2"/>
      <c r="D42" s="2"/>
      <c r="E42" s="15" t="str">
        <f>IFERROR(VLOOKUP(D42,Projects!$G$3:$H$21,2,FALSE),"")</f>
        <v/>
      </c>
      <c r="F42" s="2"/>
      <c r="G42" s="2"/>
      <c r="H42" s="2"/>
      <c r="I42" s="2"/>
      <c r="J42" s="2"/>
      <c r="K42" s="2"/>
      <c r="L42" s="2"/>
      <c r="M42" s="16" t="str">
        <f t="shared" si="0"/>
        <v/>
      </c>
      <c r="N42" s="3" t="str">
        <f t="shared" si="1"/>
        <v/>
      </c>
      <c r="O42" s="2"/>
      <c r="P42" s="2"/>
      <c r="Q42" s="2"/>
    </row>
    <row r="43" spans="1:17">
      <c r="A43" s="5"/>
      <c r="B43" s="5"/>
      <c r="C43" s="5"/>
      <c r="D43" s="5"/>
      <c r="E43" s="15" t="str">
        <f>IFERROR(VLOOKUP(D43,Projects!$G$3:$H$21,2,FALSE),"")</f>
        <v/>
      </c>
      <c r="F43" s="5"/>
      <c r="G43" s="5"/>
      <c r="H43" s="5"/>
      <c r="I43" s="5"/>
      <c r="J43" s="5"/>
      <c r="K43" s="5"/>
      <c r="L43" s="5"/>
      <c r="M43" s="17" t="str">
        <f t="shared" si="0"/>
        <v/>
      </c>
      <c r="N43" s="6" t="str">
        <f t="shared" si="1"/>
        <v/>
      </c>
      <c r="O43" s="5"/>
      <c r="P43" s="5"/>
      <c r="Q43" s="5"/>
    </row>
    <row r="44" spans="1:17">
      <c r="A44" s="2"/>
      <c r="B44" s="2"/>
      <c r="C44" s="2"/>
      <c r="D44" s="2"/>
      <c r="E44" s="15" t="str">
        <f>IFERROR(VLOOKUP(D44,Projects!$G$3:$H$21,2,FALSE),"")</f>
        <v/>
      </c>
      <c r="F44" s="2"/>
      <c r="G44" s="2"/>
      <c r="H44" s="2"/>
      <c r="I44" s="2"/>
      <c r="J44" s="2"/>
      <c r="K44" s="2"/>
      <c r="L44" s="2"/>
      <c r="M44" s="16" t="str">
        <f t="shared" si="0"/>
        <v/>
      </c>
      <c r="N44" s="3" t="str">
        <f t="shared" si="1"/>
        <v/>
      </c>
      <c r="O44" s="2"/>
      <c r="P44" s="2"/>
      <c r="Q44" s="2"/>
    </row>
    <row r="45" spans="1:17">
      <c r="A45" s="5"/>
      <c r="B45" s="5"/>
      <c r="C45" s="5"/>
      <c r="D45" s="5"/>
      <c r="E45" s="15" t="str">
        <f>IFERROR(VLOOKUP(D45,Projects!$G$3:$H$21,2,FALSE),"")</f>
        <v/>
      </c>
      <c r="F45" s="5"/>
      <c r="G45" s="5"/>
      <c r="H45" s="5"/>
      <c r="I45" s="5"/>
      <c r="J45" s="5"/>
      <c r="K45" s="5"/>
      <c r="L45" s="5"/>
      <c r="M45" s="17" t="str">
        <f t="shared" si="0"/>
        <v/>
      </c>
      <c r="N45" s="6" t="str">
        <f t="shared" si="1"/>
        <v/>
      </c>
      <c r="O45" s="5"/>
      <c r="P45" s="5"/>
      <c r="Q45" s="5"/>
    </row>
    <row r="48" spans="1:17">
      <c r="A48" s="71" t="s">
        <v>636</v>
      </c>
      <c r="B48" s="72"/>
      <c r="C48" s="72"/>
      <c r="D48" s="72"/>
      <c r="E48" s="72"/>
      <c r="F48" s="72"/>
      <c r="G48" s="72"/>
      <c r="H48" s="72"/>
      <c r="I48" s="72"/>
      <c r="J48" s="72"/>
      <c r="K48" s="72"/>
      <c r="L48" s="72"/>
      <c r="M48" s="72"/>
      <c r="N48" s="72"/>
      <c r="O48" s="72"/>
      <c r="P48" s="72"/>
      <c r="Q48" s="72"/>
    </row>
    <row r="49" spans="1:2">
      <c r="A49" s="1" t="s">
        <v>576</v>
      </c>
      <c r="B49" s="1" t="s">
        <v>577</v>
      </c>
    </row>
    <row r="50" spans="1:2" ht="27.6">
      <c r="A50" s="18" t="s">
        <v>578</v>
      </c>
      <c r="B50" s="12">
        <f>COUNTA(G7:G45)</f>
        <v>29</v>
      </c>
    </row>
    <row r="51" spans="1:2" ht="41.45">
      <c r="A51" s="18" t="s">
        <v>579</v>
      </c>
      <c r="B51" s="12">
        <f>SUM(K7:K45)</f>
        <v>160</v>
      </c>
    </row>
    <row r="52" spans="1:2" ht="41.45">
      <c r="A52" s="18" t="s">
        <v>580</v>
      </c>
      <c r="B52" s="12">
        <f>SUM(L7:L45)</f>
        <v>72.349999999999994</v>
      </c>
    </row>
    <row r="53" spans="1:2" ht="27.6">
      <c r="A53" s="18" t="s">
        <v>581</v>
      </c>
      <c r="B53" s="12">
        <f>SUM(M7:M45)</f>
        <v>87.65</v>
      </c>
    </row>
    <row r="54" spans="1:2" ht="41.45">
      <c r="A54" s="18" t="s">
        <v>582</v>
      </c>
      <c r="B54" s="19">
        <f>IFERROR(AVERAGE(N7:N45),"")</f>
        <v>0.50894909688013146</v>
      </c>
    </row>
    <row r="55" spans="1:2" ht="41.45">
      <c r="A55" s="18" t="s">
        <v>583</v>
      </c>
      <c r="B55" s="20">
        <f>IFERROR(AVERAGE(O7:O45),"")</f>
        <v>4.2</v>
      </c>
    </row>
    <row r="56" spans="1:2" ht="27.6">
      <c r="A56" s="18" t="s">
        <v>584</v>
      </c>
      <c r="B56" s="12">
        <f>COUNTIF(P7:P45,"Completed")</f>
        <v>29</v>
      </c>
    </row>
    <row r="57" spans="1:2" ht="27.6">
      <c r="A57" s="18" t="s">
        <v>585</v>
      </c>
      <c r="B57" s="12">
        <f>COUNTIF(P7:P45,"In Progress")</f>
        <v>0</v>
      </c>
    </row>
  </sheetData>
  <mergeCells count="8">
    <mergeCell ref="A1:Q1"/>
    <mergeCell ref="A2:C2"/>
    <mergeCell ref="A48:Q48"/>
    <mergeCell ref="D2:F2"/>
    <mergeCell ref="D4:F4"/>
    <mergeCell ref="D3:F3"/>
    <mergeCell ref="A3:C3"/>
    <mergeCell ref="A4:C4"/>
  </mergeCells>
  <phoneticPr fontId="11" type="noConversion"/>
  <dataValidations count="3">
    <dataValidation type="list" allowBlank="1" errorTitle="Invalid Project" error="Please choose a valid Project Name from the Projects sheet." promptTitle="Project Name" prompt="Select a project" sqref="D7:D45" xr:uid="{00000000-0002-0000-0500-000001000000}">
      <formula1>BFSI_Projects</formula1>
    </dataValidation>
    <dataValidation type="list" allowBlank="1" sqref="P7:P45" xr:uid="{00000000-0002-0000-0500-000003000000}">
      <formula1>"Not Started,In Progress,Completed,On Hold"</formula1>
    </dataValidation>
    <dataValidation type="whole" allowBlank="1" error="Enter a number between 1 and 5." sqref="O7:O45" xr:uid="{00000000-0002-0000-05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500-000002000000}">
          <x14:formula1>
            <xm:f>LOVs!$B$2:$B$7</xm:f>
          </x14:formula1>
          <xm:sqref>I7:I45</xm:sqref>
        </x14:dataValidation>
        <x14:dataValidation type="list" allowBlank="1" errorTitle="Invalid Category" error="Please choose a valid Task Category." promptTitle="Task Category" prompt="Select a task category" xr:uid="{00000000-0002-0000-0500-000000000000}">
          <x14:formula1>
            <xm:f>LOVs!$A$2:$A$7</xm:f>
          </x14:formula1>
          <xm:sqref>H7:H28 H30:H33 H35:H45</xm:sqref>
        </x14:dataValidation>
        <x14:dataValidation type="list" allowBlank="1" showInputMessage="1" showErrorMessage="1" xr:uid="{7A8655DE-DE7E-40DB-A682-834A992D7D98}">
          <x14:formula1>
            <xm:f>'Copliot User Access'!$B:$B</xm:f>
          </x14:formula1>
          <xm:sqref>F7:F45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Q58"/>
  <sheetViews>
    <sheetView workbookViewId="0">
      <pane ySplit="6" topLeftCell="A10" activePane="bottomLeft" state="frozen"/>
      <selection pane="bottomLeft" activeCell="J7" sqref="J7"/>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67" t="s">
        <v>637</v>
      </c>
      <c r="B1" s="72"/>
      <c r="C1" s="72"/>
      <c r="D1" s="72"/>
      <c r="E1" s="72"/>
      <c r="F1" s="72"/>
      <c r="G1" s="72"/>
      <c r="H1" s="72"/>
      <c r="I1" s="72"/>
      <c r="J1" s="72"/>
      <c r="K1" s="72"/>
      <c r="L1" s="72"/>
      <c r="M1" s="72"/>
      <c r="N1" s="72"/>
      <c r="O1" s="72"/>
      <c r="P1" s="72"/>
      <c r="Q1" s="72"/>
    </row>
    <row r="2" spans="1:17" ht="20.100000000000001" customHeight="1">
      <c r="A2" s="70" t="s">
        <v>542</v>
      </c>
      <c r="B2" s="72"/>
      <c r="C2" s="72"/>
      <c r="D2" s="74" t="s">
        <v>35</v>
      </c>
      <c r="E2" s="72"/>
      <c r="F2" s="72"/>
    </row>
    <row r="3" spans="1:17" ht="20.100000000000001" customHeight="1">
      <c r="A3" s="70" t="s">
        <v>638</v>
      </c>
      <c r="B3" s="72"/>
      <c r="C3" s="72"/>
      <c r="D3" s="74" t="s">
        <v>37</v>
      </c>
      <c r="E3" s="72"/>
      <c r="F3" s="72"/>
    </row>
    <row r="4" spans="1:17" ht="20.100000000000001" customHeight="1">
      <c r="A4" s="70" t="s">
        <v>639</v>
      </c>
      <c r="B4" s="72"/>
      <c r="C4" s="72"/>
      <c r="D4" s="74" t="s">
        <v>38</v>
      </c>
      <c r="E4" s="72"/>
      <c r="F4" s="72"/>
    </row>
    <row r="6" spans="1:17"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7" ht="33.75" customHeight="1">
      <c r="A7" s="2">
        <v>1</v>
      </c>
      <c r="B7" s="29">
        <v>46124</v>
      </c>
      <c r="C7" s="2" t="s">
        <v>640</v>
      </c>
      <c r="D7" s="2" t="s">
        <v>126</v>
      </c>
      <c r="E7" s="15">
        <f>IFERROR(VLOOKUP(D7,Projects!$J$3:$K$21,2,FALSE),"")</f>
        <v>12150101</v>
      </c>
      <c r="F7" s="2" t="s">
        <v>501</v>
      </c>
      <c r="G7" s="26" t="s">
        <v>641</v>
      </c>
      <c r="H7" s="2" t="s">
        <v>6</v>
      </c>
      <c r="I7" s="2" t="s">
        <v>3</v>
      </c>
      <c r="J7" s="42" t="s">
        <v>642</v>
      </c>
      <c r="K7" s="2">
        <v>1</v>
      </c>
      <c r="L7" s="2"/>
      <c r="M7" s="16" t="str">
        <f t="shared" ref="M7:M46" si="0">IF(AND(K7&lt;&gt;"",L7&lt;&gt;""),K7-L7,"")</f>
        <v/>
      </c>
      <c r="N7" s="3" t="str">
        <f t="shared" ref="N7:N46" si="1">IF(AND(M7&lt;&gt;"",K7&lt;&gt;"",K7&lt;&gt;0),M7/K7,"")</f>
        <v/>
      </c>
      <c r="O7" s="2"/>
      <c r="P7" s="2"/>
      <c r="Q7" s="2"/>
    </row>
    <row r="8" spans="1:17" ht="61.5" customHeight="1">
      <c r="A8" s="5">
        <v>2</v>
      </c>
      <c r="B8" s="2" t="s">
        <v>643</v>
      </c>
      <c r="C8" s="5" t="s">
        <v>644</v>
      </c>
      <c r="D8" s="5" t="s">
        <v>126</v>
      </c>
      <c r="E8" s="15">
        <f>IFERROR(VLOOKUP(D8,Projects!$J$3:$K$21,2,FALSE),"")</f>
        <v>12150101</v>
      </c>
      <c r="F8" s="5" t="s">
        <v>501</v>
      </c>
      <c r="G8" s="41" t="s">
        <v>645</v>
      </c>
      <c r="H8" s="5" t="s">
        <v>10</v>
      </c>
      <c r="I8" s="5" t="s">
        <v>3</v>
      </c>
      <c r="J8" s="5" t="s">
        <v>646</v>
      </c>
      <c r="K8" s="5">
        <v>1</v>
      </c>
      <c r="L8" s="5"/>
      <c r="M8" s="17" t="str">
        <f t="shared" si="0"/>
        <v/>
      </c>
      <c r="N8" s="6" t="str">
        <f t="shared" si="1"/>
        <v/>
      </c>
      <c r="O8" s="5"/>
      <c r="P8" s="5"/>
      <c r="Q8" s="5"/>
    </row>
    <row r="9" spans="1:17" ht="43.5" customHeight="1">
      <c r="A9" s="2">
        <v>3</v>
      </c>
      <c r="B9" s="29">
        <v>46146</v>
      </c>
      <c r="C9" s="29">
        <v>46269</v>
      </c>
      <c r="D9" s="2" t="s">
        <v>126</v>
      </c>
      <c r="E9" s="15">
        <f>IFERROR(VLOOKUP(D9,Projects!$J$3:$K$21,2,FALSE),"")</f>
        <v>12150101</v>
      </c>
      <c r="F9" s="2" t="s">
        <v>501</v>
      </c>
      <c r="G9" s="26" t="s">
        <v>647</v>
      </c>
      <c r="H9" s="2" t="s">
        <v>8</v>
      </c>
      <c r="I9" s="2" t="s">
        <v>3</v>
      </c>
      <c r="J9" s="2" t="s">
        <v>648</v>
      </c>
      <c r="K9" s="2">
        <v>0.5</v>
      </c>
      <c r="L9" s="2">
        <v>0.01</v>
      </c>
      <c r="M9" s="16">
        <f t="shared" si="0"/>
        <v>0.49</v>
      </c>
      <c r="N9" s="3">
        <f t="shared" si="1"/>
        <v>0.98</v>
      </c>
      <c r="O9" s="2">
        <v>4</v>
      </c>
      <c r="P9" s="2" t="s">
        <v>77</v>
      </c>
      <c r="Q9" s="2" t="s">
        <v>649</v>
      </c>
    </row>
    <row r="10" spans="1:17" ht="40.5">
      <c r="A10" s="5">
        <v>4</v>
      </c>
      <c r="B10" s="29">
        <v>46124</v>
      </c>
      <c r="C10" s="2" t="s">
        <v>640</v>
      </c>
      <c r="D10" s="5" t="s">
        <v>119</v>
      </c>
      <c r="E10" s="15">
        <f>IFERROR(VLOOKUP(D10,Projects!$J$3:$K$21,2,FALSE),"")</f>
        <v>12158001</v>
      </c>
      <c r="F10" s="5" t="s">
        <v>506</v>
      </c>
      <c r="G10" s="41" t="s">
        <v>650</v>
      </c>
      <c r="H10" s="5" t="s">
        <v>8</v>
      </c>
      <c r="I10" s="2" t="s">
        <v>3</v>
      </c>
      <c r="J10" s="5"/>
      <c r="K10" s="5"/>
      <c r="L10" s="5"/>
      <c r="M10" s="17" t="str">
        <f t="shared" si="0"/>
        <v/>
      </c>
      <c r="N10" s="6" t="str">
        <f t="shared" si="1"/>
        <v/>
      </c>
      <c r="O10" s="5"/>
      <c r="P10" s="5"/>
      <c r="Q10" s="5"/>
    </row>
    <row r="11" spans="1:17" ht="29.25">
      <c r="A11" s="2">
        <v>5</v>
      </c>
      <c r="B11" s="2" t="s">
        <v>643</v>
      </c>
      <c r="C11" s="5" t="s">
        <v>644</v>
      </c>
      <c r="D11" s="5" t="s">
        <v>126</v>
      </c>
      <c r="E11" s="15">
        <f>IFERROR(VLOOKUP(D11,Projects!$J$3:$K$21,2,FALSE),"")</f>
        <v>12150101</v>
      </c>
      <c r="F11" s="2" t="s">
        <v>506</v>
      </c>
      <c r="G11" s="43" t="s">
        <v>651</v>
      </c>
      <c r="H11" s="2" t="s">
        <v>8</v>
      </c>
      <c r="I11" s="2" t="s">
        <v>3</v>
      </c>
      <c r="J11" s="2"/>
      <c r="K11" s="2"/>
      <c r="L11" s="2"/>
      <c r="M11" s="16" t="str">
        <f t="shared" si="0"/>
        <v/>
      </c>
      <c r="N11" s="3" t="str">
        <f t="shared" si="1"/>
        <v/>
      </c>
      <c r="O11" s="2"/>
      <c r="P11" s="2"/>
      <c r="Q11" s="2"/>
    </row>
    <row r="12" spans="1:17" ht="67.5">
      <c r="A12" s="5">
        <v>6</v>
      </c>
      <c r="B12" s="5" t="s">
        <v>652</v>
      </c>
      <c r="C12" s="5" t="s">
        <v>653</v>
      </c>
      <c r="D12" s="5" t="s">
        <v>119</v>
      </c>
      <c r="E12" s="15">
        <f>IFERROR(VLOOKUP(D12,Projects!$J$3:$K$21,2,FALSE),"")</f>
        <v>12158001</v>
      </c>
      <c r="F12" s="5" t="s">
        <v>502</v>
      </c>
      <c r="G12" s="41" t="s">
        <v>654</v>
      </c>
      <c r="H12" s="5" t="s">
        <v>6</v>
      </c>
      <c r="I12" s="5" t="s">
        <v>3</v>
      </c>
      <c r="J12" s="5"/>
      <c r="K12" s="5"/>
      <c r="L12" s="5"/>
      <c r="M12" s="17" t="str">
        <f t="shared" si="0"/>
        <v/>
      </c>
      <c r="N12" s="6" t="str">
        <f t="shared" si="1"/>
        <v/>
      </c>
      <c r="O12" s="5"/>
      <c r="P12" s="5"/>
      <c r="Q12" s="5"/>
    </row>
    <row r="13" spans="1:17" ht="15">
      <c r="A13" s="2"/>
      <c r="B13" s="2"/>
      <c r="C13" s="2"/>
      <c r="D13" s="2"/>
      <c r="E13" s="15" t="str">
        <f>IFERROR(VLOOKUP(D13,Projects!$J$3:$K$21,2,FALSE),"")</f>
        <v/>
      </c>
      <c r="F13" s="2"/>
      <c r="G13" s="42"/>
      <c r="H13" s="2"/>
      <c r="I13" s="2"/>
      <c r="J13" s="2"/>
      <c r="K13" s="2"/>
      <c r="L13" s="2"/>
      <c r="M13" s="16" t="str">
        <f t="shared" si="0"/>
        <v/>
      </c>
      <c r="N13" s="3" t="str">
        <f t="shared" si="1"/>
        <v/>
      </c>
      <c r="O13" s="2"/>
      <c r="P13" s="2"/>
      <c r="Q13" s="2"/>
    </row>
    <row r="14" spans="1:17" ht="15">
      <c r="A14" s="5"/>
      <c r="B14" s="5"/>
      <c r="C14" s="5"/>
      <c r="D14" s="5"/>
      <c r="E14" s="15" t="str">
        <f>IFERROR(VLOOKUP(D14,Projects!$J$3:$K$21,2,FALSE),"")</f>
        <v/>
      </c>
      <c r="F14" s="5"/>
      <c r="G14" s="41"/>
      <c r="H14" s="5"/>
      <c r="I14" s="5"/>
      <c r="J14" s="5"/>
      <c r="K14" s="5"/>
      <c r="L14" s="5"/>
      <c r="M14" s="17" t="str">
        <f t="shared" si="0"/>
        <v/>
      </c>
      <c r="N14" s="6" t="str">
        <f t="shared" si="1"/>
        <v/>
      </c>
      <c r="O14" s="5"/>
      <c r="P14" s="5"/>
      <c r="Q14" s="5"/>
    </row>
    <row r="15" spans="1:17" ht="15">
      <c r="A15" s="2"/>
      <c r="B15" s="2"/>
      <c r="C15" s="2"/>
      <c r="D15" s="2"/>
      <c r="E15" s="15" t="str">
        <f>IFERROR(VLOOKUP(D15,Projects!$J$3:$K$21,2,FALSE),"")</f>
        <v/>
      </c>
      <c r="F15" s="2"/>
      <c r="G15" s="42"/>
      <c r="H15" s="2"/>
      <c r="I15" s="2"/>
      <c r="J15" s="2"/>
      <c r="K15" s="2"/>
      <c r="L15" s="2"/>
      <c r="M15" s="16" t="str">
        <f t="shared" si="0"/>
        <v/>
      </c>
      <c r="N15" s="3" t="str">
        <f t="shared" si="1"/>
        <v/>
      </c>
      <c r="O15" s="2"/>
      <c r="P15" s="2"/>
      <c r="Q15" s="2"/>
    </row>
    <row r="16" spans="1:17" ht="15">
      <c r="A16" s="5"/>
      <c r="B16" s="5"/>
      <c r="C16" s="5"/>
      <c r="D16" s="5"/>
      <c r="E16" s="15" t="str">
        <f>IFERROR(VLOOKUP(D16,Projects!$J$3:$K$21,2,FALSE),"")</f>
        <v/>
      </c>
      <c r="F16" s="5"/>
      <c r="G16" s="41"/>
      <c r="H16" s="5"/>
      <c r="I16" s="5"/>
      <c r="J16" s="5"/>
      <c r="K16" s="5"/>
      <c r="L16" s="5"/>
      <c r="M16" s="17" t="str">
        <f t="shared" si="0"/>
        <v/>
      </c>
      <c r="N16" s="6" t="str">
        <f t="shared" si="1"/>
        <v/>
      </c>
      <c r="O16" s="5"/>
      <c r="P16" s="5"/>
      <c r="Q16" s="5"/>
    </row>
    <row r="17" spans="1:17" ht="15">
      <c r="A17" s="2"/>
      <c r="B17" s="2"/>
      <c r="C17" s="2"/>
      <c r="D17" s="2"/>
      <c r="E17" s="15" t="str">
        <f>IFERROR(VLOOKUP(D17,Projects!$J$3:$K$21,2,FALSE),"")</f>
        <v/>
      </c>
      <c r="F17" s="2"/>
      <c r="G17" s="42"/>
      <c r="H17" s="2"/>
      <c r="I17" s="2"/>
      <c r="J17" s="2"/>
      <c r="K17" s="2"/>
      <c r="L17" s="2"/>
      <c r="M17" s="16" t="str">
        <f t="shared" si="0"/>
        <v/>
      </c>
      <c r="N17" s="3" t="str">
        <f t="shared" si="1"/>
        <v/>
      </c>
      <c r="O17" s="2"/>
      <c r="P17" s="2"/>
      <c r="Q17" s="2"/>
    </row>
    <row r="18" spans="1:17">
      <c r="A18" s="5"/>
      <c r="B18" s="5"/>
      <c r="C18" s="5"/>
      <c r="D18" s="5"/>
      <c r="E18" s="15" t="str">
        <f>IFERROR(VLOOKUP(D18,Projects!$J$3:$K$21,2,FALSE),"")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IFERROR(VLOOKUP(D19,Projects!$J$3:$K$21,2,FALSE),"")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IFERROR(VLOOKUP(D20,Projects!$J$3:$K$21,2,FALSE),"")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IFERROR(VLOOKUP(D21,Projects!$J$3:$K$21,2,FALSE),"")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IFERROR(VLOOKUP(D22,Projects!$J$3:$K$21,2,FALSE),"")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IFERROR(VLOOKUP(D23,Projects!$J$3:$K$21,2,FALSE),"")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IFERROR(VLOOKUP(D24,Projects!$J$3:$K$21,2,FALSE),"")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IFERROR(VLOOKUP(D25,Projects!$J$3:$K$21,2,FALSE),"")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IFERROR(VLOOKUP(D26,Projects!$J$3:$K$21,2,FALSE),"")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IFERROR(VLOOKUP(D27,Projects!$J$3:$K$21,2,FALSE),"")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IFERROR(VLOOKUP(D28,Projects!$J$3:$K$21,2,FALSE),"")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IFERROR(VLOOKUP(D29,Projects!$J$3:$K$21,2,FALSE),"")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IFERROR(VLOOKUP(D30,Projects!$J$3:$K$21,2,FALSE),"")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IFERROR(VLOOKUP(D31,Projects!$J$3:$K$21,2,FALSE),"")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IFERROR(VLOOKUP(D32,Projects!$J$3:$K$21,2,FALSE),"")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IFERROR(VLOOKUP(D33,Projects!$J$3:$K$21,2,FALSE),"")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IFERROR(VLOOKUP(D34,Projects!$J$3:$K$21,2,FALSE),"")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IFERROR(VLOOKUP(D35,Projects!$J$3:$K$21,2,FALSE),"")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IFERROR(VLOOKUP(D36,Projects!$J$3:$K$21,2,FALSE),"")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IFERROR(VLOOKUP(D37,Projects!$J$3:$K$21,2,FALSE),"")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IFERROR(VLOOKUP(D38,Projects!$J$3:$K$21,2,FALSE),"")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IFERROR(VLOOKUP(D39,Projects!$J$3:$K$21,2,FALSE),"")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IFERROR(VLOOKUP(D40,Projects!$J$3:$K$21,2,FALSE),"")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IFERROR(VLOOKUP(D41,Projects!$J$3:$K$21,2,FALSE),"")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IFERROR(VLOOKUP(D42,Projects!$J$3:$K$21,2,FALSE),"")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IFERROR(VLOOKUP(D43,Projects!$J$3:$K$21,2,FALSE),"")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IFERROR(VLOOKUP(D44,Projects!$J$3:$K$21,2,FALSE),"")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IFERROR(VLOOKUP(D45,Projects!$J$3:$K$21,2,FALSE),"")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IFERROR(VLOOKUP(D46,Projects!$J$3:$K$21,2,FALSE),"")</f>
        <v/>
      </c>
      <c r="F46" s="5"/>
      <c r="G46" s="5"/>
      <c r="H46" s="5"/>
      <c r="I46" s="5"/>
      <c r="J46" s="5"/>
      <c r="K46" s="5"/>
      <c r="L46" s="5"/>
      <c r="M46" s="17" t="str">
        <f t="shared" si="0"/>
        <v/>
      </c>
      <c r="N46" s="6" t="str">
        <f t="shared" si="1"/>
        <v/>
      </c>
      <c r="O46" s="5"/>
      <c r="P46" s="5"/>
      <c r="Q46" s="5"/>
    </row>
    <row r="49" spans="1:17">
      <c r="A49" s="71" t="s">
        <v>655</v>
      </c>
      <c r="B49" s="72"/>
      <c r="C49" s="72"/>
      <c r="D49" s="72"/>
      <c r="E49" s="72"/>
      <c r="F49" s="72"/>
      <c r="G49" s="72"/>
      <c r="H49" s="72"/>
      <c r="I49" s="72"/>
      <c r="J49" s="72"/>
      <c r="K49" s="72"/>
      <c r="L49" s="72"/>
      <c r="M49" s="72"/>
      <c r="N49" s="72"/>
      <c r="O49" s="72"/>
      <c r="P49" s="72"/>
      <c r="Q49" s="72"/>
    </row>
    <row r="50" spans="1:17">
      <c r="A50" s="1" t="s">
        <v>576</v>
      </c>
      <c r="B50" s="1" t="s">
        <v>577</v>
      </c>
    </row>
    <row r="51" spans="1:17" ht="27.6">
      <c r="A51" s="18" t="s">
        <v>578</v>
      </c>
      <c r="B51" s="12">
        <f>COUNTA(G7:G46)</f>
        <v>6</v>
      </c>
    </row>
    <row r="52" spans="1:17" ht="41.45">
      <c r="A52" s="18" t="s">
        <v>579</v>
      </c>
      <c r="B52" s="12">
        <f>SUM(K7:K46)</f>
        <v>2.5</v>
      </c>
    </row>
    <row r="53" spans="1:17" ht="41.45">
      <c r="A53" s="18" t="s">
        <v>580</v>
      </c>
      <c r="B53" s="12">
        <f>SUM(L7:L46)</f>
        <v>0.01</v>
      </c>
    </row>
    <row r="54" spans="1:17" ht="27.6">
      <c r="A54" s="18" t="s">
        <v>581</v>
      </c>
      <c r="B54" s="12">
        <f>SUM(M7:M46)</f>
        <v>0.49</v>
      </c>
    </row>
    <row r="55" spans="1:17" ht="41.45">
      <c r="A55" s="18" t="s">
        <v>582</v>
      </c>
      <c r="B55" s="19">
        <f>IFERROR(AVERAGE(N7:N46),"")</f>
        <v>0.98</v>
      </c>
    </row>
    <row r="56" spans="1:17" ht="41.45">
      <c r="A56" s="18" t="s">
        <v>583</v>
      </c>
      <c r="B56" s="20">
        <f>IFERROR(AVERAGE(O7:O46),"")</f>
        <v>4</v>
      </c>
    </row>
    <row r="57" spans="1:17" ht="27.6">
      <c r="A57" s="18" t="s">
        <v>584</v>
      </c>
      <c r="B57" s="12">
        <f>COUNTIF(P7:P46,"Completed")</f>
        <v>1</v>
      </c>
    </row>
    <row r="58" spans="1:17" ht="27.6">
      <c r="A58" s="18" t="s">
        <v>585</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600-000001000000}">
      <formula1>EPS_Projects</formula1>
    </dataValidation>
    <dataValidation type="list" allowBlank="1" sqref="P7:P46" xr:uid="{00000000-0002-0000-0600-000003000000}">
      <formula1>"Not Started,In Progress,Completed,On Hold"</formula1>
    </dataValidation>
    <dataValidation type="whole" allowBlank="1" error="Enter a number between 1 and 5." sqref="O7:O46" xr:uid="{00000000-0002-0000-06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600-000002000000}">
          <x14:formula1>
            <xm:f>LOVs!$B$2:$B$7</xm:f>
          </x14:formula1>
          <xm:sqref>I7:I46</xm:sqref>
        </x14:dataValidation>
        <x14:dataValidation type="list" allowBlank="1" errorTitle="Invalid Category" error="Please choose a valid Task Category." promptTitle="Task Category" prompt="Select a task category" xr:uid="{00000000-0002-0000-0600-000000000000}">
          <x14:formula1>
            <xm:f>LOVs!$A$2:$A$7</xm:f>
          </x14:formula1>
          <xm:sqref>H7:H46</xm:sqref>
        </x14:dataValidation>
        <x14:dataValidation type="list" allowBlank="1" showInputMessage="1" showErrorMessage="1" xr:uid="{1C518386-74D5-4D4F-956E-5281EC485009}">
          <x14:formula1>
            <xm:f>'Copliot User Access'!$B:$B</xm:f>
          </x14:formula1>
          <xm:sqref>F7:F46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Q58"/>
  <sheetViews>
    <sheetView workbookViewId="0">
      <pane ySplit="6" topLeftCell="A7" activePane="bottomLeft" state="frozen"/>
      <selection pane="bottomLeft" activeCell="A8" sqref="A8"/>
    </sheetView>
  </sheetViews>
  <sheetFormatPr defaultRowHeight="14.45"/>
  <cols>
    <col min="1" max="1" width="10" customWidth="1"/>
    <col min="2" max="3" width="15" customWidth="1"/>
    <col min="4" max="4" width="25" customWidth="1"/>
    <col min="5" max="5" width="16" customWidth="1"/>
    <col min="6" max="6" width="22" customWidth="1"/>
    <col min="7" max="7" width="3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67" t="s">
        <v>656</v>
      </c>
      <c r="B1" s="72"/>
      <c r="C1" s="72"/>
      <c r="D1" s="72"/>
      <c r="E1" s="72"/>
      <c r="F1" s="72"/>
      <c r="G1" s="72"/>
      <c r="H1" s="72"/>
      <c r="I1" s="72"/>
      <c r="J1" s="72"/>
      <c r="K1" s="72"/>
      <c r="L1" s="72"/>
      <c r="M1" s="72"/>
      <c r="N1" s="72"/>
      <c r="O1" s="72"/>
      <c r="P1" s="72"/>
      <c r="Q1" s="72"/>
    </row>
    <row r="2" spans="1:17" ht="20.100000000000001" customHeight="1">
      <c r="A2" s="70" t="s">
        <v>542</v>
      </c>
      <c r="B2" s="72"/>
      <c r="C2" s="72"/>
      <c r="D2" s="74" t="s">
        <v>35</v>
      </c>
      <c r="E2" s="72"/>
      <c r="F2" s="72"/>
    </row>
    <row r="3" spans="1:17" ht="20.100000000000001" customHeight="1">
      <c r="A3" s="70" t="s">
        <v>657</v>
      </c>
      <c r="B3" s="72"/>
      <c r="C3" s="72"/>
      <c r="D3" s="74" t="s">
        <v>43</v>
      </c>
      <c r="E3" s="72"/>
      <c r="F3" s="72"/>
    </row>
    <row r="4" spans="1:17" ht="20.100000000000001" customHeight="1">
      <c r="A4" s="70" t="s">
        <v>658</v>
      </c>
      <c r="B4" s="72"/>
      <c r="C4" s="72"/>
      <c r="D4" s="74" t="s">
        <v>43</v>
      </c>
      <c r="E4" s="72"/>
      <c r="F4" s="72"/>
    </row>
    <row r="6" spans="1:17"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7" ht="39.75" customHeight="1">
      <c r="A7" s="2"/>
      <c r="B7" s="2"/>
      <c r="C7" s="2"/>
      <c r="D7" s="26" t="s">
        <v>92</v>
      </c>
      <c r="E7" s="15">
        <f>IFERROR(VLOOKUP(D7,Projects!$P$3:$Q$21,2,FALSE),"")</f>
        <v>14005204</v>
      </c>
      <c r="F7" s="2"/>
      <c r="G7" s="26" t="s">
        <v>659</v>
      </c>
      <c r="H7" s="2" t="s">
        <v>2</v>
      </c>
      <c r="I7" s="2" t="s">
        <v>3</v>
      </c>
      <c r="J7" s="2"/>
      <c r="K7" s="2"/>
      <c r="L7" s="2"/>
      <c r="M7" s="16" t="str">
        <f t="shared" ref="M7:M46" si="0">IF(AND(K7&lt;&gt;"",L7&lt;&gt;""),K7-L7,"")</f>
        <v/>
      </c>
      <c r="N7" s="3" t="str">
        <f t="shared" ref="N7:N46" si="1">IF(AND(M7&lt;&gt;"",K7&lt;&gt;"",K7&lt;&gt;0),M7/K7,"")</f>
        <v/>
      </c>
      <c r="O7" s="2">
        <v>4</v>
      </c>
      <c r="P7" s="2"/>
      <c r="Q7" s="2" t="s">
        <v>660</v>
      </c>
    </row>
    <row r="8" spans="1:17" ht="39" customHeight="1">
      <c r="A8" s="5"/>
      <c r="B8" s="5"/>
      <c r="C8" s="5"/>
      <c r="D8" s="37" t="s">
        <v>102</v>
      </c>
      <c r="E8" s="15" t="str">
        <f>IFERROR(VLOOKUP(D8,Projects!$P$3:$Q$21,2,FALSE),"")</f>
        <v>51014108-001</v>
      </c>
      <c r="F8" s="5"/>
      <c r="G8" s="37" t="s">
        <v>661</v>
      </c>
      <c r="H8" s="5" t="s">
        <v>2</v>
      </c>
      <c r="I8" s="5" t="s">
        <v>3</v>
      </c>
      <c r="J8" s="5"/>
      <c r="K8" s="5"/>
      <c r="L8" s="5"/>
      <c r="M8" s="17" t="str">
        <f t="shared" si="0"/>
        <v/>
      </c>
      <c r="N8" s="6" t="str">
        <f t="shared" si="1"/>
        <v/>
      </c>
      <c r="O8" s="5">
        <v>5</v>
      </c>
      <c r="P8" s="5"/>
      <c r="Q8" s="5" t="s">
        <v>660</v>
      </c>
    </row>
    <row r="9" spans="1:17" ht="27">
      <c r="A9" s="2"/>
      <c r="B9" s="2"/>
      <c r="C9" s="2"/>
      <c r="D9" s="26" t="s">
        <v>102</v>
      </c>
      <c r="E9" s="15" t="str">
        <f>IFERROR(VLOOKUP(D9,Projects!$P$3:$Q$21,2,FALSE),"")</f>
        <v>51014108-001</v>
      </c>
      <c r="F9" s="2"/>
      <c r="G9" s="26" t="s">
        <v>662</v>
      </c>
      <c r="H9" s="2" t="s">
        <v>2</v>
      </c>
      <c r="I9" s="2" t="s">
        <v>3</v>
      </c>
      <c r="J9" s="2"/>
      <c r="K9" s="2"/>
      <c r="L9" s="2"/>
      <c r="M9" s="16" t="str">
        <f t="shared" si="0"/>
        <v/>
      </c>
      <c r="N9" s="3" t="str">
        <f t="shared" si="1"/>
        <v/>
      </c>
      <c r="O9" s="2">
        <v>5</v>
      </c>
      <c r="P9" s="2"/>
      <c r="Q9" s="2" t="s">
        <v>660</v>
      </c>
    </row>
    <row r="10" spans="1:17">
      <c r="A10" s="5"/>
      <c r="B10" s="5"/>
      <c r="C10" s="5"/>
      <c r="D10" s="5"/>
      <c r="E10" s="15" t="str">
        <f>IFERROR(VLOOKUP(D10,Projects!$P$3:$Q$21,2,FALSE),"")</f>
        <v/>
      </c>
      <c r="F10" s="5"/>
      <c r="G10" s="5"/>
      <c r="H10" s="5"/>
      <c r="I10" s="5"/>
      <c r="J10" s="5"/>
      <c r="K10" s="5"/>
      <c r="L10" s="5"/>
      <c r="M10" s="17" t="str">
        <f t="shared" si="0"/>
        <v/>
      </c>
      <c r="N10" s="6" t="str">
        <f t="shared" si="1"/>
        <v/>
      </c>
      <c r="O10" s="5"/>
      <c r="P10" s="5"/>
      <c r="Q10" s="5"/>
    </row>
    <row r="11" spans="1:17">
      <c r="A11" s="2"/>
      <c r="B11" s="2"/>
      <c r="C11" s="2"/>
      <c r="D11" s="2"/>
      <c r="E11" s="15" t="str">
        <f>IFERROR(VLOOKUP(D11,Projects!$P$3:$Q$21,2,FALSE),"")</f>
        <v/>
      </c>
      <c r="F11" s="2"/>
      <c r="G11" s="2"/>
      <c r="H11" s="2"/>
      <c r="I11" s="2"/>
      <c r="J11" s="2"/>
      <c r="K11" s="2"/>
      <c r="L11" s="2"/>
      <c r="M11" s="16" t="str">
        <f t="shared" si="0"/>
        <v/>
      </c>
      <c r="N11" s="3" t="str">
        <f t="shared" si="1"/>
        <v/>
      </c>
      <c r="O11" s="2"/>
      <c r="P11" s="2"/>
      <c r="Q11" s="2"/>
    </row>
    <row r="12" spans="1:17">
      <c r="A12" s="5"/>
      <c r="B12" s="5"/>
      <c r="C12" s="5"/>
      <c r="D12" s="5"/>
      <c r="E12" s="15" t="str">
        <f>IFERROR(VLOOKUP(D12,Projects!$P$3:$Q$21,2,FALSE),"")</f>
        <v/>
      </c>
      <c r="F12" s="5"/>
      <c r="G12" s="5"/>
      <c r="H12" s="5"/>
      <c r="I12" s="5"/>
      <c r="J12" s="5"/>
      <c r="K12" s="5"/>
      <c r="L12" s="5"/>
      <c r="M12" s="17" t="str">
        <f t="shared" si="0"/>
        <v/>
      </c>
      <c r="N12" s="6" t="str">
        <f t="shared" si="1"/>
        <v/>
      </c>
      <c r="O12" s="5"/>
      <c r="P12" s="5"/>
      <c r="Q12" s="5"/>
    </row>
    <row r="13" spans="1:17">
      <c r="A13" s="2"/>
      <c r="B13" s="2"/>
      <c r="C13" s="2"/>
      <c r="D13" s="2"/>
      <c r="E13" s="15" t="str">
        <f>IFERROR(VLOOKUP(D13,Projects!$P$3:$Q$21,2,FALSE),"")</f>
        <v/>
      </c>
      <c r="F13" s="2"/>
      <c r="G13" s="2"/>
      <c r="H13" s="2"/>
      <c r="I13" s="2"/>
      <c r="J13" s="2"/>
      <c r="K13" s="2"/>
      <c r="L13" s="2"/>
      <c r="M13" s="16" t="str">
        <f t="shared" si="0"/>
        <v/>
      </c>
      <c r="N13" s="3" t="str">
        <f t="shared" si="1"/>
        <v/>
      </c>
      <c r="O13" s="2"/>
      <c r="P13" s="2"/>
      <c r="Q13" s="2"/>
    </row>
    <row r="14" spans="1:17">
      <c r="A14" s="5"/>
      <c r="B14" s="5"/>
      <c r="C14" s="5"/>
      <c r="D14" s="5"/>
      <c r="E14" s="15" t="str">
        <f>IFERROR(VLOOKUP(D14,Projects!$P$3:$Q$21,2,FALSE),"")</f>
        <v/>
      </c>
      <c r="F14" s="5"/>
      <c r="G14" s="5"/>
      <c r="H14" s="5"/>
      <c r="I14" s="5"/>
      <c r="J14" s="5"/>
      <c r="K14" s="5"/>
      <c r="L14" s="5"/>
      <c r="M14" s="17" t="str">
        <f t="shared" si="0"/>
        <v/>
      </c>
      <c r="N14" s="6" t="str">
        <f t="shared" si="1"/>
        <v/>
      </c>
      <c r="O14" s="5"/>
      <c r="P14" s="5"/>
      <c r="Q14" s="5"/>
    </row>
    <row r="15" spans="1:17">
      <c r="A15" s="2"/>
      <c r="B15" s="2"/>
      <c r="C15" s="2"/>
      <c r="D15" s="2"/>
      <c r="E15" s="15" t="str">
        <f>IFERROR(VLOOKUP(D15,Projects!$P$3:$Q$21,2,FALSE),"")</f>
        <v/>
      </c>
      <c r="F15" s="2"/>
      <c r="G15" s="2"/>
      <c r="H15" s="2"/>
      <c r="I15" s="2"/>
      <c r="J15" s="2"/>
      <c r="K15" s="2"/>
      <c r="L15" s="2"/>
      <c r="M15" s="16" t="str">
        <f t="shared" si="0"/>
        <v/>
      </c>
      <c r="N15" s="3" t="str">
        <f t="shared" si="1"/>
        <v/>
      </c>
      <c r="O15" s="2"/>
      <c r="P15" s="2"/>
      <c r="Q15" s="2"/>
    </row>
    <row r="16" spans="1:17">
      <c r="A16" s="5"/>
      <c r="B16" s="5"/>
      <c r="C16" s="5"/>
      <c r="D16" s="5"/>
      <c r="E16" s="15" t="str">
        <f>IFERROR(VLOOKUP(D16,Projects!$P$3:$Q$21,2,FALSE),"")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IFERROR(VLOOKUP(D17,Projects!$P$3:$Q$21,2,FALSE),"")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IFERROR(VLOOKUP(D18,Projects!$P$3:$Q$21,2,FALSE),"")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IFERROR(VLOOKUP(D19,Projects!$P$3:$Q$21,2,FALSE),"")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IFERROR(VLOOKUP(D20,Projects!$P$3:$Q$21,2,FALSE),"")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IFERROR(VLOOKUP(D21,Projects!$P$3:$Q$21,2,FALSE),"")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IFERROR(VLOOKUP(D22,Projects!$P$3:$Q$21,2,FALSE),"")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IFERROR(VLOOKUP(D23,Projects!$P$3:$Q$21,2,FALSE),"")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IFERROR(VLOOKUP(D24,Projects!$P$3:$Q$21,2,FALSE),"")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IFERROR(VLOOKUP(D25,Projects!$P$3:$Q$21,2,FALSE),"")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IFERROR(VLOOKUP(D26,Projects!$P$3:$Q$21,2,FALSE),"")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IFERROR(VLOOKUP(D27,Projects!$P$3:$Q$21,2,FALSE),"")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IFERROR(VLOOKUP(D28,Projects!$P$3:$Q$21,2,FALSE),"")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IFERROR(VLOOKUP(D29,Projects!$P$3:$Q$21,2,FALSE),"")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IFERROR(VLOOKUP(D30,Projects!$P$3:$Q$21,2,FALSE),"")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IFERROR(VLOOKUP(D31,Projects!$P$3:$Q$21,2,FALSE),"")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IFERROR(VLOOKUP(D32,Projects!$P$3:$Q$21,2,FALSE),"")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IFERROR(VLOOKUP(D33,Projects!$P$3:$Q$21,2,FALSE),"")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IFERROR(VLOOKUP(D34,Projects!$P$3:$Q$21,2,FALSE),"")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IFERROR(VLOOKUP(D35,Projects!$P$3:$Q$21,2,FALSE),"")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IFERROR(VLOOKUP(D36,Projects!$P$3:$Q$21,2,FALSE),"")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IFERROR(VLOOKUP(D37,Projects!$P$3:$Q$21,2,FALSE),"")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IFERROR(VLOOKUP(D38,Projects!$P$3:$Q$21,2,FALSE),"")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IFERROR(VLOOKUP(D39,Projects!$P$3:$Q$21,2,FALSE),"")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IFERROR(VLOOKUP(D40,Projects!$P$3:$Q$21,2,FALSE),"")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IFERROR(VLOOKUP(D41,Projects!$P$3:$Q$21,2,FALSE),"")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IFERROR(VLOOKUP(D42,Projects!$P$3:$Q$21,2,FALSE),"")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IFERROR(VLOOKUP(D43,Projects!$P$3:$Q$21,2,FALSE),"")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IFERROR(VLOOKUP(D44,Projects!$P$3:$Q$21,2,FALSE),"")</f>
        <v/>
      </c>
      <c r="F44" s="5"/>
      <c r="G44" s="5"/>
      <c r="H44" s="5"/>
      <c r="I44" s="5"/>
      <c r="J44" s="5"/>
      <c r="K44" s="5"/>
      <c r="L44" s="5"/>
      <c r="M44" s="17" t="str">
        <f t="shared" si="0"/>
        <v/>
      </c>
      <c r="N44" s="6" t="str">
        <f t="shared" si="1"/>
        <v/>
      </c>
      <c r="O44" s="5"/>
      <c r="P44" s="5"/>
      <c r="Q44" s="5"/>
    </row>
    <row r="45" spans="1:17">
      <c r="A45" s="2"/>
      <c r="B45" s="2"/>
      <c r="C45" s="2"/>
      <c r="D45" s="2"/>
      <c r="E45" s="15" t="str">
        <f>IFERROR(VLOOKUP(D45,Projects!$P$3:$Q$21,2,FALSE),"")</f>
        <v/>
      </c>
      <c r="F45" s="2"/>
      <c r="G45" s="2"/>
      <c r="H45" s="2"/>
      <c r="I45" s="2"/>
      <c r="J45" s="2"/>
      <c r="K45" s="2"/>
      <c r="L45" s="2"/>
      <c r="M45" s="16" t="str">
        <f t="shared" si="0"/>
        <v/>
      </c>
      <c r="N45" s="3" t="str">
        <f t="shared" si="1"/>
        <v/>
      </c>
      <c r="O45" s="2"/>
      <c r="P45" s="2"/>
      <c r="Q45" s="2"/>
    </row>
    <row r="46" spans="1:17">
      <c r="A46" s="5"/>
      <c r="B46" s="5"/>
      <c r="C46" s="5"/>
      <c r="D46" s="5"/>
      <c r="E46" s="15" t="str">
        <f>IFERROR(VLOOKUP(D46,Projects!$P$3:$Q$21,2,FALSE),"")</f>
        <v/>
      </c>
      <c r="F46" s="5"/>
      <c r="G46" s="5"/>
      <c r="H46" s="5"/>
      <c r="I46" s="5"/>
      <c r="J46" s="5"/>
      <c r="K46" s="5"/>
      <c r="L46" s="5"/>
      <c r="M46" s="17" t="str">
        <f t="shared" si="0"/>
        <v/>
      </c>
      <c r="N46" s="6" t="str">
        <f t="shared" si="1"/>
        <v/>
      </c>
      <c r="O46" s="5"/>
      <c r="P46" s="5"/>
      <c r="Q46" s="5"/>
    </row>
    <row r="49" spans="1:17">
      <c r="A49" s="71" t="s">
        <v>663</v>
      </c>
      <c r="B49" s="72"/>
      <c r="C49" s="72"/>
      <c r="D49" s="72"/>
      <c r="E49" s="72"/>
      <c r="F49" s="72"/>
      <c r="G49" s="72"/>
      <c r="H49" s="72"/>
      <c r="I49" s="72"/>
      <c r="J49" s="72"/>
      <c r="K49" s="72"/>
      <c r="L49" s="72"/>
      <c r="M49" s="72"/>
      <c r="N49" s="72"/>
      <c r="O49" s="72"/>
      <c r="P49" s="72"/>
      <c r="Q49" s="72"/>
    </row>
    <row r="50" spans="1:17">
      <c r="A50" s="1" t="s">
        <v>576</v>
      </c>
      <c r="B50" s="1" t="s">
        <v>577</v>
      </c>
    </row>
    <row r="51" spans="1:17" ht="27.6">
      <c r="A51" s="18" t="s">
        <v>578</v>
      </c>
      <c r="B51" s="12">
        <f>COUNTA(G7:G46)</f>
        <v>3</v>
      </c>
    </row>
    <row r="52" spans="1:17" ht="41.45">
      <c r="A52" s="18" t="s">
        <v>579</v>
      </c>
      <c r="B52" s="12">
        <f>SUM(K7:K46)</f>
        <v>0</v>
      </c>
    </row>
    <row r="53" spans="1:17" ht="41.45">
      <c r="A53" s="18" t="s">
        <v>580</v>
      </c>
      <c r="B53" s="12">
        <f>SUM(L7:L46)</f>
        <v>0</v>
      </c>
    </row>
    <row r="54" spans="1:17" ht="27.6">
      <c r="A54" s="18" t="s">
        <v>581</v>
      </c>
      <c r="B54" s="12">
        <f>SUM(M7:M46)</f>
        <v>0</v>
      </c>
    </row>
    <row r="55" spans="1:17" ht="41.45">
      <c r="A55" s="18" t="s">
        <v>582</v>
      </c>
      <c r="B55" s="19" t="str">
        <f>IFERROR(AVERAGE(N7:N46),"")</f>
        <v/>
      </c>
    </row>
    <row r="56" spans="1:17" ht="41.45">
      <c r="A56" s="18" t="s">
        <v>583</v>
      </c>
      <c r="B56" s="20">
        <f>IFERROR(AVERAGE(O7:O46),"")</f>
        <v>4.666666666666667</v>
      </c>
    </row>
    <row r="57" spans="1:17" ht="27.6">
      <c r="A57" s="18" t="s">
        <v>584</v>
      </c>
      <c r="B57" s="12">
        <f>COUNTIF(P7:P46,"Completed")</f>
        <v>0</v>
      </c>
    </row>
    <row r="58" spans="1:17" ht="27.6">
      <c r="A58" s="18" t="s">
        <v>585</v>
      </c>
      <c r="B58" s="12">
        <f>COUNTIF(P7:P46,"In Progress")</f>
        <v>0</v>
      </c>
    </row>
  </sheetData>
  <mergeCells count="8">
    <mergeCell ref="A1:Q1"/>
    <mergeCell ref="A2:C2"/>
    <mergeCell ref="A49:Q49"/>
    <mergeCell ref="D2:F2"/>
    <mergeCell ref="D4:F4"/>
    <mergeCell ref="D3:F3"/>
    <mergeCell ref="A3:C3"/>
    <mergeCell ref="A4:C4"/>
  </mergeCells>
  <dataValidations count="3">
    <dataValidation type="list" allowBlank="1" errorTitle="Invalid Project" error="Please choose a valid Project Name from the Projects sheet." promptTitle="Project Name" prompt="Select a project" sqref="D7:D46" xr:uid="{00000000-0002-0000-0800-000001000000}">
      <formula1>EPCS_Projects</formula1>
    </dataValidation>
    <dataValidation type="list" allowBlank="1" sqref="P7:P46" xr:uid="{00000000-0002-0000-0800-000003000000}">
      <formula1>"Not Started,In Progress,Completed,On Hold"</formula1>
    </dataValidation>
    <dataValidation type="whole" allowBlank="1" error="Enter a number between 1 and 5." sqref="O7:O46" xr:uid="{00000000-0002-0000-0800-000004000000}">
      <formula1>1</formula1>
      <formula2>5</formula2>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800-000002000000}">
          <x14:formula1>
            <xm:f>LOVs!$B$2:$B$7</xm:f>
          </x14:formula1>
          <xm:sqref>I7:I46</xm:sqref>
        </x14:dataValidation>
        <x14:dataValidation type="list" allowBlank="1" errorTitle="Invalid Category" error="Please choose a valid Task Category." promptTitle="Task Category" prompt="Select a task category" xr:uid="{00000000-0002-0000-0800-000000000000}">
          <x14:formula1>
            <xm:f>LOVs!$A$2:$A$7</xm:f>
          </x14:formula1>
          <xm:sqref>H7:H46</xm:sqref>
        </x14:dataValidation>
        <x14:dataValidation type="list" allowBlank="1" showInputMessage="1" showErrorMessage="1" xr:uid="{EA44B956-F2F9-486B-9CCB-600AB734F681}">
          <x14:formula1>
            <xm:f>'Copliot User Access'!$B:$B</xm:f>
          </x14:formula1>
          <xm:sqref>F7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890C-E9B9-4DE4-8ADC-EA364402929E}">
  <dimension ref="A1:K23"/>
  <sheetViews>
    <sheetView workbookViewId="0">
      <selection activeCell="B22" sqref="B22:B23"/>
    </sheetView>
  </sheetViews>
  <sheetFormatPr defaultRowHeight="14.45"/>
  <cols>
    <col min="1" max="1" width="9.42578125" customWidth="1"/>
    <col min="2" max="2" width="13.5703125" customWidth="1"/>
    <col min="3" max="3" width="17.42578125" customWidth="1"/>
    <col min="4" max="4" width="16.42578125" customWidth="1"/>
    <col min="5" max="5" width="15.28515625" customWidth="1"/>
    <col min="6" max="6" width="19.140625" customWidth="1"/>
    <col min="7" max="7" width="18.140625" customWidth="1"/>
    <col min="8" max="8" width="14.140625" customWidth="1"/>
    <col min="9" max="9" width="14.42578125" customWidth="1"/>
    <col min="10" max="10" width="10.5703125" customWidth="1"/>
    <col min="11" max="11" width="16.7109375" customWidth="1"/>
  </cols>
  <sheetData>
    <row r="1" spans="1:11">
      <c r="A1" s="22" t="s">
        <v>16</v>
      </c>
      <c r="B1" s="22" t="s">
        <v>52</v>
      </c>
      <c r="C1" s="22" t="s">
        <v>664</v>
      </c>
      <c r="D1" s="22" t="s">
        <v>665</v>
      </c>
      <c r="E1" s="22" t="s">
        <v>666</v>
      </c>
      <c r="F1" s="22" t="s">
        <v>667</v>
      </c>
      <c r="G1" s="22" t="s">
        <v>668</v>
      </c>
      <c r="H1" s="22" t="s">
        <v>115</v>
      </c>
      <c r="I1" s="22" t="s">
        <v>669</v>
      </c>
      <c r="J1" s="22" t="s">
        <v>670</v>
      </c>
      <c r="K1" s="22" t="s">
        <v>246</v>
      </c>
    </row>
    <row r="2" spans="1:11" ht="43.15" hidden="1">
      <c r="A2" s="21" t="s">
        <v>67</v>
      </c>
      <c r="B2" s="21">
        <v>12135001</v>
      </c>
      <c r="C2" s="21" t="s">
        <v>671</v>
      </c>
      <c r="D2" s="21" t="s">
        <v>672</v>
      </c>
      <c r="E2" s="23">
        <v>7420000</v>
      </c>
      <c r="F2" s="24">
        <v>45680</v>
      </c>
      <c r="G2" s="24">
        <v>45930</v>
      </c>
      <c r="H2" s="21" t="s">
        <v>118</v>
      </c>
      <c r="I2" s="21" t="s">
        <v>673</v>
      </c>
      <c r="J2" s="21" t="s">
        <v>674</v>
      </c>
      <c r="K2" s="21" t="s">
        <v>675</v>
      </c>
    </row>
    <row r="3" spans="1:11" ht="72" hidden="1">
      <c r="A3" s="21" t="s">
        <v>67</v>
      </c>
      <c r="B3" s="21" t="s">
        <v>125</v>
      </c>
      <c r="C3" s="21" t="s">
        <v>676</v>
      </c>
      <c r="D3" s="21" t="s">
        <v>677</v>
      </c>
      <c r="E3" s="23">
        <v>2250000</v>
      </c>
      <c r="F3" s="24">
        <v>45785</v>
      </c>
      <c r="G3" s="24">
        <v>46068</v>
      </c>
      <c r="H3" s="21" t="s">
        <v>124</v>
      </c>
      <c r="I3" s="21" t="s">
        <v>673</v>
      </c>
      <c r="J3" s="21" t="s">
        <v>674</v>
      </c>
      <c r="K3" s="21" t="s">
        <v>678</v>
      </c>
    </row>
    <row r="4" spans="1:11" ht="43.15" hidden="1">
      <c r="A4" s="21" t="s">
        <v>253</v>
      </c>
      <c r="B4" s="21">
        <v>56000301</v>
      </c>
      <c r="C4" s="21" t="s">
        <v>679</v>
      </c>
      <c r="D4" s="21" t="s">
        <v>680</v>
      </c>
      <c r="E4" s="23">
        <v>14941795.65</v>
      </c>
      <c r="F4" s="24">
        <v>46006</v>
      </c>
      <c r="G4" s="24">
        <v>46568</v>
      </c>
      <c r="H4" s="21" t="s">
        <v>116</v>
      </c>
      <c r="I4" s="21" t="s">
        <v>673</v>
      </c>
      <c r="J4" s="21" t="s">
        <v>674</v>
      </c>
      <c r="K4" s="21" t="s">
        <v>681</v>
      </c>
    </row>
    <row r="5" spans="1:11" hidden="1">
      <c r="A5" s="21" t="s">
        <v>253</v>
      </c>
      <c r="B5" s="21" t="s">
        <v>122</v>
      </c>
      <c r="C5" s="21"/>
      <c r="D5" s="21" t="s">
        <v>682</v>
      </c>
      <c r="E5" s="21"/>
      <c r="F5" s="21"/>
      <c r="G5" s="21"/>
      <c r="H5" s="21" t="s">
        <v>121</v>
      </c>
      <c r="I5" s="21" t="s">
        <v>673</v>
      </c>
      <c r="J5" s="21" t="s">
        <v>674</v>
      </c>
      <c r="K5" s="21"/>
    </row>
    <row r="6" spans="1:11" ht="43.15" hidden="1">
      <c r="A6" s="21" t="s">
        <v>39</v>
      </c>
      <c r="B6" s="21">
        <v>12164301</v>
      </c>
      <c r="C6" s="21"/>
      <c r="D6" s="21"/>
      <c r="E6" s="21"/>
      <c r="F6" s="24">
        <v>45992</v>
      </c>
      <c r="G6" s="24">
        <v>46356</v>
      </c>
      <c r="H6" s="21" t="s">
        <v>120</v>
      </c>
      <c r="I6" s="21" t="s">
        <v>683</v>
      </c>
      <c r="J6" s="21" t="s">
        <v>684</v>
      </c>
      <c r="K6" s="21" t="s">
        <v>244</v>
      </c>
    </row>
    <row r="7" spans="1:11" ht="43.15" hidden="1">
      <c r="A7" s="21" t="s">
        <v>39</v>
      </c>
      <c r="B7" s="21">
        <v>12144401</v>
      </c>
      <c r="C7" s="21"/>
      <c r="D7" s="21"/>
      <c r="E7" s="21"/>
      <c r="F7" s="24">
        <v>45809</v>
      </c>
      <c r="G7" s="24">
        <v>46174</v>
      </c>
      <c r="H7" s="21" t="s">
        <v>127</v>
      </c>
      <c r="I7" s="21" t="s">
        <v>673</v>
      </c>
      <c r="J7" s="21" t="s">
        <v>684</v>
      </c>
      <c r="K7" s="21" t="s">
        <v>244</v>
      </c>
    </row>
    <row r="8" spans="1:11" ht="57.6" hidden="1">
      <c r="A8" s="21" t="s">
        <v>39</v>
      </c>
      <c r="B8" s="21">
        <v>12154701</v>
      </c>
      <c r="C8" s="21"/>
      <c r="D8" s="21"/>
      <c r="E8" s="21"/>
      <c r="F8" s="24">
        <v>45550</v>
      </c>
      <c r="G8" s="24">
        <v>46295</v>
      </c>
      <c r="H8" s="21" t="s">
        <v>130</v>
      </c>
      <c r="I8" s="21" t="s">
        <v>673</v>
      </c>
      <c r="J8" s="21" t="s">
        <v>684</v>
      </c>
      <c r="K8" s="21" t="s">
        <v>244</v>
      </c>
    </row>
    <row r="9" spans="1:11" ht="57.6" hidden="1">
      <c r="A9" s="21" t="s">
        <v>241</v>
      </c>
      <c r="B9" s="21">
        <v>62002301</v>
      </c>
      <c r="C9" s="21" t="s">
        <v>685</v>
      </c>
      <c r="D9" s="21" t="s">
        <v>686</v>
      </c>
      <c r="E9" s="23">
        <v>9750013</v>
      </c>
      <c r="F9" s="24">
        <v>45017</v>
      </c>
      <c r="G9" s="21" t="s">
        <v>687</v>
      </c>
      <c r="H9" s="21" t="s">
        <v>117</v>
      </c>
      <c r="I9" s="21" t="s">
        <v>673</v>
      </c>
      <c r="J9" s="21" t="s">
        <v>674</v>
      </c>
      <c r="K9" s="21" t="s">
        <v>688</v>
      </c>
    </row>
    <row r="10" spans="1:11" ht="86.45" hidden="1">
      <c r="A10" s="21" t="s">
        <v>241</v>
      </c>
      <c r="B10" s="21" t="s">
        <v>689</v>
      </c>
      <c r="C10" s="21" t="s">
        <v>690</v>
      </c>
      <c r="D10" s="21" t="s">
        <v>691</v>
      </c>
      <c r="E10" s="23">
        <v>2608600</v>
      </c>
      <c r="F10" s="24">
        <v>45759</v>
      </c>
      <c r="G10" s="21" t="s">
        <v>692</v>
      </c>
      <c r="H10" s="21" t="s">
        <v>123</v>
      </c>
      <c r="I10" s="21" t="s">
        <v>673</v>
      </c>
      <c r="J10" s="21" t="s">
        <v>674</v>
      </c>
      <c r="K10" s="21" t="s">
        <v>693</v>
      </c>
    </row>
    <row r="11" spans="1:11" ht="72" hidden="1">
      <c r="A11" s="21" t="s">
        <v>241</v>
      </c>
      <c r="B11" s="21">
        <v>23045701</v>
      </c>
      <c r="C11" s="21" t="s">
        <v>694</v>
      </c>
      <c r="D11" s="21" t="s">
        <v>695</v>
      </c>
      <c r="E11" s="23">
        <v>600000</v>
      </c>
      <c r="F11" s="21" t="s">
        <v>696</v>
      </c>
      <c r="G11" s="24">
        <v>46031</v>
      </c>
      <c r="H11" s="21" t="s">
        <v>128</v>
      </c>
      <c r="I11" s="21" t="s">
        <v>673</v>
      </c>
      <c r="J11" s="21" t="s">
        <v>674</v>
      </c>
      <c r="K11" s="21" t="s">
        <v>697</v>
      </c>
    </row>
    <row r="12" spans="1:11" ht="57.6" hidden="1">
      <c r="A12" s="21" t="s">
        <v>67</v>
      </c>
      <c r="B12" s="21">
        <v>13011901</v>
      </c>
      <c r="C12" s="21" t="s">
        <v>698</v>
      </c>
      <c r="D12" s="21" t="s">
        <v>699</v>
      </c>
      <c r="E12" s="25">
        <v>1890000</v>
      </c>
      <c r="F12" s="24">
        <v>45666</v>
      </c>
      <c r="G12" s="21" t="s">
        <v>700</v>
      </c>
      <c r="H12" s="21" t="s">
        <v>129</v>
      </c>
      <c r="I12" s="21" t="s">
        <v>673</v>
      </c>
      <c r="J12" s="21" t="s">
        <v>674</v>
      </c>
      <c r="K12" s="21" t="s">
        <v>701</v>
      </c>
    </row>
    <row r="13" spans="1:11" ht="57.6" hidden="1">
      <c r="A13" s="21" t="s">
        <v>67</v>
      </c>
      <c r="B13" s="21">
        <v>13012401</v>
      </c>
      <c r="C13" s="21" t="s">
        <v>702</v>
      </c>
      <c r="D13" s="21" t="s">
        <v>699</v>
      </c>
      <c r="E13" s="25">
        <v>2070000</v>
      </c>
      <c r="F13" s="21" t="s">
        <v>703</v>
      </c>
      <c r="G13" s="21" t="s">
        <v>704</v>
      </c>
      <c r="H13" s="21" t="s">
        <v>705</v>
      </c>
      <c r="I13" s="21" t="s">
        <v>673</v>
      </c>
      <c r="J13" s="21" t="s">
        <v>674</v>
      </c>
      <c r="K13" s="21" t="s">
        <v>701</v>
      </c>
    </row>
    <row r="14" spans="1:11" ht="57.6" hidden="1">
      <c r="A14" s="21" t="s">
        <v>67</v>
      </c>
      <c r="B14" s="21">
        <v>13012501</v>
      </c>
      <c r="C14" s="21" t="s">
        <v>706</v>
      </c>
      <c r="D14" s="21" t="s">
        <v>699</v>
      </c>
      <c r="E14" s="25">
        <v>2310000</v>
      </c>
      <c r="F14" s="24">
        <v>45667</v>
      </c>
      <c r="G14" s="21" t="s">
        <v>704</v>
      </c>
      <c r="H14" s="21" t="s">
        <v>131</v>
      </c>
      <c r="I14" s="21" t="s">
        <v>673</v>
      </c>
      <c r="J14" s="21" t="s">
        <v>674</v>
      </c>
      <c r="K14" s="21" t="s">
        <v>707</v>
      </c>
    </row>
    <row r="15" spans="1:11" ht="57.6" hidden="1">
      <c r="A15" s="21" t="s">
        <v>67</v>
      </c>
      <c r="B15" s="21">
        <v>13005301</v>
      </c>
      <c r="C15" s="21" t="s">
        <v>708</v>
      </c>
      <c r="D15" s="21" t="s">
        <v>699</v>
      </c>
      <c r="E15" s="25">
        <v>44776400</v>
      </c>
      <c r="F15" s="21" t="s">
        <v>709</v>
      </c>
      <c r="G15" s="21" t="s">
        <v>700</v>
      </c>
      <c r="H15" s="21" t="s">
        <v>133</v>
      </c>
      <c r="I15" s="21" t="s">
        <v>673</v>
      </c>
      <c r="J15" s="21" t="s">
        <v>674</v>
      </c>
      <c r="K15" s="21" t="s">
        <v>701</v>
      </c>
    </row>
    <row r="16" spans="1:11" ht="57.6" hidden="1">
      <c r="A16" s="21" t="s">
        <v>67</v>
      </c>
      <c r="B16" s="21">
        <v>13008001</v>
      </c>
      <c r="C16" s="21" t="s">
        <v>710</v>
      </c>
      <c r="D16" s="21" t="s">
        <v>699</v>
      </c>
      <c r="E16" s="25">
        <v>8100000</v>
      </c>
      <c r="F16" s="21" t="s">
        <v>711</v>
      </c>
      <c r="G16" s="21" t="s">
        <v>700</v>
      </c>
      <c r="H16" s="21" t="s">
        <v>134</v>
      </c>
      <c r="I16" s="21" t="s">
        <v>673</v>
      </c>
      <c r="J16" s="21" t="s">
        <v>674</v>
      </c>
      <c r="K16" s="21" t="s">
        <v>712</v>
      </c>
    </row>
    <row r="17" spans="1:11" ht="57.6" hidden="1">
      <c r="A17" s="21" t="s">
        <v>67</v>
      </c>
      <c r="B17" s="21">
        <v>13008101</v>
      </c>
      <c r="C17" s="21" t="s">
        <v>713</v>
      </c>
      <c r="D17" s="21" t="s">
        <v>699</v>
      </c>
      <c r="E17" s="25">
        <v>11895902</v>
      </c>
      <c r="F17" s="24">
        <v>45514</v>
      </c>
      <c r="G17" s="24">
        <v>45667</v>
      </c>
      <c r="H17" s="21" t="s">
        <v>135</v>
      </c>
      <c r="I17" s="21" t="s">
        <v>673</v>
      </c>
      <c r="J17" s="21" t="s">
        <v>674</v>
      </c>
      <c r="K17" s="21" t="s">
        <v>714</v>
      </c>
    </row>
    <row r="18" spans="1:11" ht="43.15" hidden="1">
      <c r="A18" s="21" t="s">
        <v>67</v>
      </c>
      <c r="B18" s="21">
        <v>13013201</v>
      </c>
      <c r="C18" s="21" t="s">
        <v>715</v>
      </c>
      <c r="D18" s="21" t="s">
        <v>699</v>
      </c>
      <c r="E18" s="25">
        <v>1601419</v>
      </c>
      <c r="F18" s="24">
        <v>45911</v>
      </c>
      <c r="G18" s="24">
        <v>46236</v>
      </c>
      <c r="H18" s="21" t="s">
        <v>136</v>
      </c>
      <c r="I18" s="21" t="s">
        <v>673</v>
      </c>
      <c r="J18" s="21" t="s">
        <v>674</v>
      </c>
      <c r="K18" s="21" t="s">
        <v>716</v>
      </c>
    </row>
    <row r="19" spans="1:11" ht="72" hidden="1">
      <c r="A19" s="21" t="s">
        <v>67</v>
      </c>
      <c r="B19" s="21" t="s">
        <v>125</v>
      </c>
      <c r="C19" s="21" t="s">
        <v>676</v>
      </c>
      <c r="D19" s="21" t="s">
        <v>677</v>
      </c>
      <c r="E19" s="25">
        <v>2250000</v>
      </c>
      <c r="F19" s="24">
        <v>45874</v>
      </c>
      <c r="G19" s="21" t="s">
        <v>717</v>
      </c>
      <c r="H19" s="21" t="s">
        <v>124</v>
      </c>
      <c r="I19" s="21" t="s">
        <v>673</v>
      </c>
      <c r="J19" s="21" t="s">
        <v>674</v>
      </c>
      <c r="K19" s="21" t="s">
        <v>678</v>
      </c>
    </row>
    <row r="20" spans="1:11" ht="57.6" hidden="1">
      <c r="A20" s="21" t="s">
        <v>67</v>
      </c>
      <c r="B20" s="21">
        <v>94000802</v>
      </c>
      <c r="C20" s="21" t="s">
        <v>718</v>
      </c>
      <c r="D20" s="21" t="s">
        <v>719</v>
      </c>
      <c r="E20" s="25">
        <v>5130400</v>
      </c>
      <c r="F20" s="24">
        <v>45604</v>
      </c>
      <c r="G20" s="24">
        <v>46334</v>
      </c>
      <c r="H20" s="21" t="s">
        <v>137</v>
      </c>
      <c r="I20" s="21" t="s">
        <v>673</v>
      </c>
      <c r="J20" s="21" t="s">
        <v>674</v>
      </c>
      <c r="K20" s="21" t="s">
        <v>678</v>
      </c>
    </row>
    <row r="21" spans="1:11" ht="57.6" hidden="1">
      <c r="A21" s="21" t="s">
        <v>67</v>
      </c>
      <c r="B21" s="21">
        <v>94000601</v>
      </c>
      <c r="C21" s="21" t="s">
        <v>720</v>
      </c>
      <c r="D21" s="21" t="s">
        <v>719</v>
      </c>
      <c r="E21" s="25">
        <v>3478000</v>
      </c>
      <c r="F21" s="21" t="s">
        <v>721</v>
      </c>
      <c r="G21" s="21" t="s">
        <v>722</v>
      </c>
      <c r="H21" s="21" t="s">
        <v>138</v>
      </c>
      <c r="I21" s="21" t="s">
        <v>673</v>
      </c>
      <c r="J21" s="21" t="s">
        <v>674</v>
      </c>
      <c r="K21" s="21" t="s">
        <v>678</v>
      </c>
    </row>
    <row r="22" spans="1:11" ht="72">
      <c r="A22" s="21" t="s">
        <v>723</v>
      </c>
      <c r="B22" s="21">
        <v>12158001</v>
      </c>
      <c r="C22" s="21"/>
      <c r="D22" s="21" t="s">
        <v>724</v>
      </c>
      <c r="E22" s="23">
        <v>490000</v>
      </c>
      <c r="F22" s="24">
        <v>45922</v>
      </c>
      <c r="G22" s="24">
        <v>46203</v>
      </c>
      <c r="H22" s="21" t="s">
        <v>119</v>
      </c>
      <c r="I22" s="21" t="s">
        <v>673</v>
      </c>
      <c r="J22" s="21" t="s">
        <v>674</v>
      </c>
      <c r="K22" s="21" t="s">
        <v>725</v>
      </c>
    </row>
    <row r="23" spans="1:11" ht="43.15">
      <c r="A23" s="21" t="s">
        <v>723</v>
      </c>
      <c r="B23" s="21">
        <v>12150101</v>
      </c>
      <c r="C23" s="21"/>
      <c r="D23" s="21" t="s">
        <v>724</v>
      </c>
      <c r="E23" s="23">
        <v>2688760</v>
      </c>
      <c r="F23" s="24">
        <v>45807</v>
      </c>
      <c r="G23" s="24">
        <v>46357</v>
      </c>
      <c r="H23" s="21" t="s">
        <v>126</v>
      </c>
      <c r="I23" s="21" t="s">
        <v>673</v>
      </c>
      <c r="J23" s="21" t="s">
        <v>674</v>
      </c>
      <c r="K23" s="21" t="s">
        <v>726</v>
      </c>
    </row>
  </sheetData>
  <pageMargins left="0.7" right="0.7" top="0.75" bottom="0.75" header="0.3" footer="0.3"/>
  <headerFooter>
    <oddFooter>&amp;C_x000D_&amp;1#&amp;"Aptos"&amp;10&amp;KFFFF00 Ejada Internal Use Only</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Q58"/>
  <sheetViews>
    <sheetView workbookViewId="0">
      <pane ySplit="6" topLeftCell="A8" activePane="bottomLeft" state="frozen"/>
      <selection pane="bottomLeft" activeCell="F12" sqref="F12"/>
    </sheetView>
  </sheetViews>
  <sheetFormatPr defaultRowHeight="14.45"/>
  <cols>
    <col min="1" max="1" width="10" customWidth="1"/>
    <col min="2" max="3" width="15" customWidth="1"/>
    <col min="4" max="4" width="25" customWidth="1"/>
    <col min="5" max="5" width="16" customWidth="1"/>
    <col min="6" max="6" width="22" customWidth="1"/>
    <col min="7" max="7" width="36.28515625" customWidth="1"/>
    <col min="8" max="8" width="16" customWidth="1"/>
    <col min="9" max="9" width="18" customWidth="1"/>
    <col min="10" max="10" width="35" customWidth="1"/>
    <col min="11" max="11" width="20" customWidth="1"/>
    <col min="12" max="12" width="18" customWidth="1"/>
    <col min="13" max="15" width="16" customWidth="1"/>
    <col min="16" max="16" width="14" customWidth="1"/>
    <col min="17" max="17" width="30" customWidth="1"/>
  </cols>
  <sheetData>
    <row r="1" spans="1:17" ht="30" customHeight="1">
      <c r="A1" s="67" t="s">
        <v>727</v>
      </c>
      <c r="B1" s="72"/>
      <c r="C1" s="72"/>
      <c r="D1" s="72"/>
      <c r="E1" s="72"/>
      <c r="F1" s="72"/>
      <c r="G1" s="72"/>
      <c r="H1" s="72"/>
      <c r="I1" s="72"/>
      <c r="J1" s="72"/>
      <c r="K1" s="72"/>
      <c r="L1" s="72"/>
      <c r="M1" s="72"/>
      <c r="N1" s="72"/>
      <c r="O1" s="72"/>
      <c r="P1" s="72"/>
      <c r="Q1" s="72"/>
    </row>
    <row r="2" spans="1:17" ht="20.100000000000001" customHeight="1">
      <c r="A2" s="70" t="s">
        <v>542</v>
      </c>
      <c r="B2" s="72"/>
      <c r="C2" s="72"/>
      <c r="D2" s="74" t="s">
        <v>35</v>
      </c>
      <c r="E2" s="72"/>
      <c r="F2" s="72"/>
    </row>
    <row r="3" spans="1:17" ht="20.100000000000001" customHeight="1">
      <c r="A3" s="70" t="s">
        <v>728</v>
      </c>
      <c r="B3" s="72"/>
      <c r="C3" s="72"/>
      <c r="D3" s="74" t="s">
        <v>40</v>
      </c>
      <c r="E3" s="72"/>
      <c r="F3" s="72"/>
    </row>
    <row r="4" spans="1:17" ht="20.100000000000001" customHeight="1">
      <c r="A4" s="70" t="s">
        <v>729</v>
      </c>
      <c r="B4" s="72"/>
      <c r="C4" s="72"/>
      <c r="D4" s="74" t="s">
        <v>41</v>
      </c>
      <c r="E4" s="72"/>
      <c r="F4" s="72"/>
    </row>
    <row r="6" spans="1:17" ht="32.1" customHeight="1">
      <c r="A6" s="1" t="s">
        <v>547</v>
      </c>
      <c r="B6" s="1" t="s">
        <v>548</v>
      </c>
      <c r="C6" s="1" t="s">
        <v>549</v>
      </c>
      <c r="D6" s="1" t="s">
        <v>115</v>
      </c>
      <c r="E6" s="1" t="s">
        <v>52</v>
      </c>
      <c r="F6" s="1" t="s">
        <v>550</v>
      </c>
      <c r="G6" s="1" t="s">
        <v>551</v>
      </c>
      <c r="H6" s="1" t="s">
        <v>0</v>
      </c>
      <c r="I6" s="1" t="s">
        <v>1</v>
      </c>
      <c r="J6" s="1" t="s">
        <v>552</v>
      </c>
      <c r="K6" s="1" t="s">
        <v>20</v>
      </c>
      <c r="L6" s="1" t="s">
        <v>21</v>
      </c>
      <c r="M6" s="1" t="s">
        <v>22</v>
      </c>
      <c r="N6" s="1" t="s">
        <v>553</v>
      </c>
      <c r="O6" s="1" t="s">
        <v>554</v>
      </c>
      <c r="P6" s="1" t="s">
        <v>64</v>
      </c>
      <c r="Q6" s="1" t="s">
        <v>555</v>
      </c>
    </row>
    <row r="7" spans="1:17" ht="53.25">
      <c r="A7" s="2">
        <v>1</v>
      </c>
      <c r="B7" s="2" t="s">
        <v>730</v>
      </c>
      <c r="C7" s="2" t="s">
        <v>731</v>
      </c>
      <c r="D7" s="2" t="s">
        <v>120</v>
      </c>
      <c r="E7" s="15">
        <v>12164301</v>
      </c>
      <c r="F7" s="2" t="s">
        <v>250</v>
      </c>
      <c r="G7" s="2" t="s">
        <v>732</v>
      </c>
      <c r="H7" s="2" t="s">
        <v>4</v>
      </c>
      <c r="I7" s="2" t="s">
        <v>3</v>
      </c>
      <c r="J7" s="2" t="s">
        <v>733</v>
      </c>
      <c r="K7" s="2">
        <v>4</v>
      </c>
      <c r="L7" s="2">
        <v>0.5</v>
      </c>
      <c r="M7" s="16">
        <f t="shared" ref="M7:M44" si="0">IF(AND(K7&lt;&gt;"",L7&lt;&gt;""),K7-L7,"")</f>
        <v>3.5</v>
      </c>
      <c r="N7" s="3">
        <f t="shared" ref="N7:N44" si="1">IF(AND(M7&lt;&gt;"",K7&lt;&gt;"",K7&lt;&gt;0),M7/K7,"")</f>
        <v>0.875</v>
      </c>
      <c r="O7" s="2">
        <v>5</v>
      </c>
      <c r="P7" s="2" t="s">
        <v>77</v>
      </c>
      <c r="Q7" s="2" t="s">
        <v>734</v>
      </c>
    </row>
    <row r="8" spans="1:17" ht="27">
      <c r="A8" s="5">
        <v>2</v>
      </c>
      <c r="B8" s="5" t="s">
        <v>735</v>
      </c>
      <c r="C8" s="5" t="s">
        <v>736</v>
      </c>
      <c r="D8" s="5" t="s">
        <v>120</v>
      </c>
      <c r="E8" s="15">
        <v>12164301</v>
      </c>
      <c r="F8" s="5" t="s">
        <v>250</v>
      </c>
      <c r="G8" s="5" t="s">
        <v>737</v>
      </c>
      <c r="H8" s="5" t="s">
        <v>4</v>
      </c>
      <c r="I8" s="5" t="s">
        <v>3</v>
      </c>
      <c r="J8" s="5" t="s">
        <v>738</v>
      </c>
      <c r="K8" s="5">
        <v>8</v>
      </c>
      <c r="L8" s="5">
        <v>2</v>
      </c>
      <c r="M8" s="17">
        <f t="shared" si="0"/>
        <v>6</v>
      </c>
      <c r="N8" s="6">
        <f t="shared" si="1"/>
        <v>0.75</v>
      </c>
      <c r="O8" s="5">
        <v>4</v>
      </c>
      <c r="P8" s="5" t="s">
        <v>77</v>
      </c>
      <c r="Q8" s="5"/>
    </row>
    <row r="9" spans="1:17" ht="27">
      <c r="A9" s="2">
        <v>1</v>
      </c>
      <c r="B9" s="2" t="s">
        <v>730</v>
      </c>
      <c r="C9" s="2" t="s">
        <v>731</v>
      </c>
      <c r="D9" s="2" t="s">
        <v>127</v>
      </c>
      <c r="E9" s="15">
        <v>12144401</v>
      </c>
      <c r="F9" s="2" t="s">
        <v>247</v>
      </c>
      <c r="G9" s="2" t="s">
        <v>739</v>
      </c>
      <c r="H9" s="2" t="s">
        <v>2</v>
      </c>
      <c r="I9" s="2" t="s">
        <v>3</v>
      </c>
      <c r="J9" s="2" t="s">
        <v>740</v>
      </c>
      <c r="K9" s="2">
        <v>2</v>
      </c>
      <c r="L9" s="2">
        <v>0.25</v>
      </c>
      <c r="M9" s="16">
        <f t="shared" si="0"/>
        <v>1.75</v>
      </c>
      <c r="N9" s="3">
        <f t="shared" si="1"/>
        <v>0.875</v>
      </c>
      <c r="O9" s="2">
        <v>5</v>
      </c>
      <c r="P9" s="2" t="s">
        <v>77</v>
      </c>
      <c r="Q9" s="2"/>
    </row>
    <row r="10" spans="1:17" ht="27">
      <c r="A10" s="5">
        <v>2</v>
      </c>
      <c r="B10" s="5" t="s">
        <v>735</v>
      </c>
      <c r="C10" s="5" t="s">
        <v>736</v>
      </c>
      <c r="D10" s="5" t="s">
        <v>127</v>
      </c>
      <c r="E10" s="15">
        <v>12144401</v>
      </c>
      <c r="F10" s="5" t="s">
        <v>247</v>
      </c>
      <c r="G10" s="5" t="s">
        <v>741</v>
      </c>
      <c r="H10" s="5" t="s">
        <v>2</v>
      </c>
      <c r="I10" s="5" t="s">
        <v>3</v>
      </c>
      <c r="J10" s="5" t="s">
        <v>742</v>
      </c>
      <c r="K10" s="5">
        <v>2</v>
      </c>
      <c r="L10" s="5">
        <v>0.25</v>
      </c>
      <c r="M10" s="17">
        <f t="shared" si="0"/>
        <v>1.75</v>
      </c>
      <c r="N10" s="6">
        <f t="shared" si="1"/>
        <v>0.875</v>
      </c>
      <c r="O10" s="5">
        <v>5</v>
      </c>
      <c r="P10" s="5" t="s">
        <v>77</v>
      </c>
      <c r="Q10" s="5"/>
    </row>
    <row r="11" spans="1:17" ht="27">
      <c r="A11" s="2">
        <v>3</v>
      </c>
      <c r="B11" s="29">
        <v>46146</v>
      </c>
      <c r="C11" s="29">
        <v>46269</v>
      </c>
      <c r="D11" s="2" t="s">
        <v>120</v>
      </c>
      <c r="E11" s="15">
        <v>12164301</v>
      </c>
      <c r="F11" s="2" t="s">
        <v>250</v>
      </c>
      <c r="G11" s="2" t="s">
        <v>743</v>
      </c>
      <c r="H11" s="2" t="s">
        <v>4</v>
      </c>
      <c r="I11" s="2" t="s">
        <v>3</v>
      </c>
      <c r="J11" s="2" t="s">
        <v>744</v>
      </c>
      <c r="K11" s="2">
        <v>2</v>
      </c>
      <c r="L11" s="2">
        <v>0.25</v>
      </c>
      <c r="M11" s="16">
        <f t="shared" ref="M11:M12" si="2">IF(AND(K11&lt;&gt;"",L11&lt;&gt;""),K11-L11,"")</f>
        <v>1.75</v>
      </c>
      <c r="N11" s="3">
        <f t="shared" ref="N11:N12" si="3">IF(AND(M11&lt;&gt;"",K11&lt;&gt;"",K11&lt;&gt;0),M11/K11,"")</f>
        <v>0.875</v>
      </c>
      <c r="O11" s="2">
        <v>5</v>
      </c>
      <c r="P11" s="2" t="s">
        <v>77</v>
      </c>
      <c r="Q11" s="2"/>
    </row>
    <row r="12" spans="1:17" ht="40.5">
      <c r="A12" s="5">
        <v>8</v>
      </c>
      <c r="B12" s="29">
        <v>46146</v>
      </c>
      <c r="C12" s="29">
        <v>46269</v>
      </c>
      <c r="D12" s="5" t="s">
        <v>630</v>
      </c>
      <c r="E12" s="15" t="s">
        <v>631</v>
      </c>
      <c r="F12" s="5" t="s">
        <v>490</v>
      </c>
      <c r="G12" s="5" t="s">
        <v>632</v>
      </c>
      <c r="H12" s="5" t="s">
        <v>6</v>
      </c>
      <c r="I12" s="5" t="s">
        <v>3</v>
      </c>
      <c r="J12" s="5" t="s">
        <v>633</v>
      </c>
      <c r="K12" s="5">
        <v>12</v>
      </c>
      <c r="L12" s="5">
        <v>2</v>
      </c>
      <c r="M12" s="17">
        <f t="shared" si="2"/>
        <v>10</v>
      </c>
      <c r="N12" s="6">
        <f t="shared" si="3"/>
        <v>0.83333333333333337</v>
      </c>
      <c r="O12" s="5">
        <v>4</v>
      </c>
      <c r="P12" s="5" t="s">
        <v>77</v>
      </c>
      <c r="Q12" s="5"/>
    </row>
    <row r="13" spans="1:17">
      <c r="A13" s="2"/>
      <c r="B13" s="2"/>
      <c r="C13" s="2"/>
      <c r="D13" s="2"/>
      <c r="E13" s="15" t="str">
        <f>IFERROR(VLOOKUP(D13,Projects!$M$3:$N$21,2,FALSE),"")</f>
        <v/>
      </c>
      <c r="F13" s="2"/>
      <c r="G13" s="2"/>
      <c r="H13" s="2"/>
      <c r="I13" s="2"/>
      <c r="J13" s="2"/>
      <c r="K13" s="2"/>
      <c r="L13" s="2"/>
      <c r="M13" s="16" t="str">
        <f t="shared" si="0"/>
        <v/>
      </c>
      <c r="N13" s="3" t="str">
        <f t="shared" si="1"/>
        <v/>
      </c>
      <c r="O13" s="2"/>
      <c r="P13" s="2"/>
      <c r="Q13" s="2"/>
    </row>
    <row r="14" spans="1:17">
      <c r="A14" s="5"/>
      <c r="B14" s="5"/>
      <c r="C14" s="5"/>
      <c r="D14" s="5"/>
      <c r="E14" s="15" t="str">
        <f>IFERROR(VLOOKUP(D14,Projects!$M$3:$N$21,2,FALSE),"")</f>
        <v/>
      </c>
      <c r="F14" s="5"/>
      <c r="G14" s="5"/>
      <c r="H14" s="5"/>
      <c r="I14" s="5"/>
      <c r="J14" s="5"/>
      <c r="K14" s="5"/>
      <c r="L14" s="5"/>
      <c r="M14" s="17" t="str">
        <f t="shared" si="0"/>
        <v/>
      </c>
      <c r="N14" s="6" t="str">
        <f t="shared" si="1"/>
        <v/>
      </c>
      <c r="O14" s="5"/>
      <c r="P14" s="5"/>
      <c r="Q14" s="5"/>
    </row>
    <row r="15" spans="1:17">
      <c r="A15" s="2"/>
      <c r="B15" s="2"/>
      <c r="C15" s="2"/>
      <c r="D15" s="2"/>
      <c r="E15" s="15" t="str">
        <f>IFERROR(VLOOKUP(D15,Projects!$M$3:$N$21,2,FALSE),"")</f>
        <v/>
      </c>
      <c r="F15" s="2"/>
      <c r="G15" s="2"/>
      <c r="H15" s="2"/>
      <c r="I15" s="2"/>
      <c r="J15" s="2"/>
      <c r="K15" s="2"/>
      <c r="L15" s="2"/>
      <c r="M15" s="16" t="str">
        <f t="shared" si="0"/>
        <v/>
      </c>
      <c r="N15" s="3" t="str">
        <f t="shared" si="1"/>
        <v/>
      </c>
      <c r="O15" s="2"/>
      <c r="P15" s="2"/>
      <c r="Q15" s="2"/>
    </row>
    <row r="16" spans="1:17">
      <c r="A16" s="5"/>
      <c r="B16" s="5"/>
      <c r="C16" s="5"/>
      <c r="D16" s="5"/>
      <c r="E16" s="15" t="str">
        <f>IFERROR(VLOOKUP(D16,Projects!$M$3:$N$21,2,FALSE),"")</f>
        <v/>
      </c>
      <c r="F16" s="5"/>
      <c r="G16" s="5"/>
      <c r="H16" s="5"/>
      <c r="I16" s="5"/>
      <c r="J16" s="5"/>
      <c r="K16" s="5"/>
      <c r="L16" s="5"/>
      <c r="M16" s="17" t="str">
        <f t="shared" si="0"/>
        <v/>
      </c>
      <c r="N16" s="6" t="str">
        <f t="shared" si="1"/>
        <v/>
      </c>
      <c r="O16" s="5"/>
      <c r="P16" s="5"/>
      <c r="Q16" s="5"/>
    </row>
    <row r="17" spans="1:17">
      <c r="A17" s="2"/>
      <c r="B17" s="2"/>
      <c r="C17" s="2"/>
      <c r="D17" s="2"/>
      <c r="E17" s="15" t="str">
        <f>IFERROR(VLOOKUP(D17,Projects!$M$3:$N$21,2,FALSE),"")</f>
        <v/>
      </c>
      <c r="F17" s="2"/>
      <c r="G17" s="2"/>
      <c r="H17" s="2"/>
      <c r="I17" s="2"/>
      <c r="J17" s="2"/>
      <c r="K17" s="2"/>
      <c r="L17" s="2"/>
      <c r="M17" s="16" t="str">
        <f t="shared" si="0"/>
        <v/>
      </c>
      <c r="N17" s="3" t="str">
        <f t="shared" si="1"/>
        <v/>
      </c>
      <c r="O17" s="2"/>
      <c r="P17" s="2"/>
      <c r="Q17" s="2"/>
    </row>
    <row r="18" spans="1:17">
      <c r="A18" s="5"/>
      <c r="B18" s="5"/>
      <c r="C18" s="5"/>
      <c r="D18" s="5"/>
      <c r="E18" s="15" t="str">
        <f>IFERROR(VLOOKUP(D18,Projects!$M$3:$N$21,2,FALSE),"")</f>
        <v/>
      </c>
      <c r="F18" s="5"/>
      <c r="G18" s="5"/>
      <c r="H18" s="5"/>
      <c r="I18" s="5"/>
      <c r="J18" s="5"/>
      <c r="K18" s="5"/>
      <c r="L18" s="5"/>
      <c r="M18" s="17" t="str">
        <f t="shared" si="0"/>
        <v/>
      </c>
      <c r="N18" s="6" t="str">
        <f t="shared" si="1"/>
        <v/>
      </c>
      <c r="O18" s="5"/>
      <c r="P18" s="5"/>
      <c r="Q18" s="5"/>
    </row>
    <row r="19" spans="1:17">
      <c r="A19" s="2"/>
      <c r="B19" s="2"/>
      <c r="C19" s="2"/>
      <c r="D19" s="2"/>
      <c r="E19" s="15" t="str">
        <f>IFERROR(VLOOKUP(D19,Projects!$M$3:$N$21,2,FALSE),"")</f>
        <v/>
      </c>
      <c r="F19" s="2"/>
      <c r="G19" s="2"/>
      <c r="H19" s="2"/>
      <c r="I19" s="2"/>
      <c r="J19" s="2"/>
      <c r="K19" s="2"/>
      <c r="L19" s="2"/>
      <c r="M19" s="16" t="str">
        <f t="shared" si="0"/>
        <v/>
      </c>
      <c r="N19" s="3" t="str">
        <f t="shared" si="1"/>
        <v/>
      </c>
      <c r="O19" s="2"/>
      <c r="P19" s="2"/>
      <c r="Q19" s="2"/>
    </row>
    <row r="20" spans="1:17">
      <c r="A20" s="5"/>
      <c r="B20" s="5"/>
      <c r="C20" s="5"/>
      <c r="D20" s="5"/>
      <c r="E20" s="15" t="str">
        <f>IFERROR(VLOOKUP(D20,Projects!$M$3:$N$21,2,FALSE),"")</f>
        <v/>
      </c>
      <c r="F20" s="5"/>
      <c r="G20" s="5"/>
      <c r="H20" s="5"/>
      <c r="I20" s="5"/>
      <c r="J20" s="5"/>
      <c r="K20" s="5"/>
      <c r="L20" s="5"/>
      <c r="M20" s="17" t="str">
        <f t="shared" si="0"/>
        <v/>
      </c>
      <c r="N20" s="6" t="str">
        <f t="shared" si="1"/>
        <v/>
      </c>
      <c r="O20" s="5"/>
      <c r="P20" s="5"/>
      <c r="Q20" s="5"/>
    </row>
    <row r="21" spans="1:17">
      <c r="A21" s="2"/>
      <c r="B21" s="2"/>
      <c r="C21" s="2"/>
      <c r="D21" s="2"/>
      <c r="E21" s="15" t="str">
        <f>IFERROR(VLOOKUP(D21,Projects!$M$3:$N$21,2,FALSE),"")</f>
        <v/>
      </c>
      <c r="F21" s="2"/>
      <c r="G21" s="2"/>
      <c r="H21" s="2"/>
      <c r="I21" s="2"/>
      <c r="J21" s="2"/>
      <c r="K21" s="2"/>
      <c r="L21" s="2"/>
      <c r="M21" s="16" t="str">
        <f t="shared" si="0"/>
        <v/>
      </c>
      <c r="N21" s="3" t="str">
        <f t="shared" si="1"/>
        <v/>
      </c>
      <c r="O21" s="2"/>
      <c r="P21" s="2"/>
      <c r="Q21" s="2"/>
    </row>
    <row r="22" spans="1:17">
      <c r="A22" s="5"/>
      <c r="B22" s="5"/>
      <c r="C22" s="5"/>
      <c r="D22" s="5"/>
      <c r="E22" s="15" t="str">
        <f>IFERROR(VLOOKUP(D22,Projects!$M$3:$N$21,2,FALSE),"")</f>
        <v/>
      </c>
      <c r="F22" s="5"/>
      <c r="G22" s="5"/>
      <c r="H22" s="5"/>
      <c r="I22" s="5"/>
      <c r="J22" s="5"/>
      <c r="K22" s="5"/>
      <c r="L22" s="5"/>
      <c r="M22" s="17" t="str">
        <f t="shared" si="0"/>
        <v/>
      </c>
      <c r="N22" s="6" t="str">
        <f t="shared" si="1"/>
        <v/>
      </c>
      <c r="O22" s="5"/>
      <c r="P22" s="5"/>
      <c r="Q22" s="5"/>
    </row>
    <row r="23" spans="1:17">
      <c r="A23" s="2"/>
      <c r="B23" s="2"/>
      <c r="C23" s="2"/>
      <c r="D23" s="2"/>
      <c r="E23" s="15" t="str">
        <f>IFERROR(VLOOKUP(D23,Projects!$M$3:$N$21,2,FALSE),"")</f>
        <v/>
      </c>
      <c r="F23" s="2"/>
      <c r="G23" s="2"/>
      <c r="H23" s="2"/>
      <c r="I23" s="2"/>
      <c r="J23" s="2"/>
      <c r="K23" s="2"/>
      <c r="L23" s="2"/>
      <c r="M23" s="16" t="str">
        <f t="shared" si="0"/>
        <v/>
      </c>
      <c r="N23" s="3" t="str">
        <f t="shared" si="1"/>
        <v/>
      </c>
      <c r="O23" s="2"/>
      <c r="P23" s="2"/>
      <c r="Q23" s="2"/>
    </row>
    <row r="24" spans="1:17">
      <c r="A24" s="5"/>
      <c r="B24" s="5"/>
      <c r="C24" s="5"/>
      <c r="D24" s="5"/>
      <c r="E24" s="15" t="str">
        <f>IFERROR(VLOOKUP(D24,Projects!$M$3:$N$21,2,FALSE),"")</f>
        <v/>
      </c>
      <c r="F24" s="5"/>
      <c r="G24" s="5"/>
      <c r="H24" s="5"/>
      <c r="I24" s="5"/>
      <c r="J24" s="5"/>
      <c r="K24" s="5"/>
      <c r="L24" s="5"/>
      <c r="M24" s="17" t="str">
        <f t="shared" si="0"/>
        <v/>
      </c>
      <c r="N24" s="6" t="str">
        <f t="shared" si="1"/>
        <v/>
      </c>
      <c r="O24" s="5"/>
      <c r="P24" s="5"/>
      <c r="Q24" s="5"/>
    </row>
    <row r="25" spans="1:17">
      <c r="A25" s="2"/>
      <c r="B25" s="2"/>
      <c r="C25" s="2"/>
      <c r="D25" s="2"/>
      <c r="E25" s="15" t="str">
        <f>IFERROR(VLOOKUP(D25,Projects!$M$3:$N$21,2,FALSE),"")</f>
        <v/>
      </c>
      <c r="F25" s="2"/>
      <c r="G25" s="2"/>
      <c r="H25" s="2"/>
      <c r="I25" s="2"/>
      <c r="J25" s="2"/>
      <c r="K25" s="2"/>
      <c r="L25" s="2"/>
      <c r="M25" s="16" t="str">
        <f t="shared" si="0"/>
        <v/>
      </c>
      <c r="N25" s="3" t="str">
        <f t="shared" si="1"/>
        <v/>
      </c>
      <c r="O25" s="2"/>
      <c r="P25" s="2"/>
      <c r="Q25" s="2"/>
    </row>
    <row r="26" spans="1:17">
      <c r="A26" s="5"/>
      <c r="B26" s="5"/>
      <c r="C26" s="5"/>
      <c r="D26" s="5"/>
      <c r="E26" s="15" t="str">
        <f>IFERROR(VLOOKUP(D26,Projects!$M$3:$N$21,2,FALSE),"")</f>
        <v/>
      </c>
      <c r="F26" s="5"/>
      <c r="G26" s="5"/>
      <c r="H26" s="5"/>
      <c r="I26" s="5"/>
      <c r="J26" s="5"/>
      <c r="K26" s="5"/>
      <c r="L26" s="5"/>
      <c r="M26" s="17" t="str">
        <f t="shared" si="0"/>
        <v/>
      </c>
      <c r="N26" s="6" t="str">
        <f t="shared" si="1"/>
        <v/>
      </c>
      <c r="O26" s="5"/>
      <c r="P26" s="5"/>
      <c r="Q26" s="5"/>
    </row>
    <row r="27" spans="1:17">
      <c r="A27" s="2"/>
      <c r="B27" s="2"/>
      <c r="C27" s="2"/>
      <c r="D27" s="2"/>
      <c r="E27" s="15" t="str">
        <f>IFERROR(VLOOKUP(D27,Projects!$M$3:$N$21,2,FALSE),"")</f>
        <v/>
      </c>
      <c r="F27" s="2"/>
      <c r="G27" s="2"/>
      <c r="H27" s="2"/>
      <c r="I27" s="2"/>
      <c r="J27" s="2"/>
      <c r="K27" s="2"/>
      <c r="L27" s="2"/>
      <c r="M27" s="16" t="str">
        <f t="shared" si="0"/>
        <v/>
      </c>
      <c r="N27" s="3" t="str">
        <f t="shared" si="1"/>
        <v/>
      </c>
      <c r="O27" s="2"/>
      <c r="P27" s="2"/>
      <c r="Q27" s="2"/>
    </row>
    <row r="28" spans="1:17">
      <c r="A28" s="5"/>
      <c r="B28" s="5"/>
      <c r="C28" s="5"/>
      <c r="D28" s="5"/>
      <c r="E28" s="15" t="str">
        <f>IFERROR(VLOOKUP(D28,Projects!$M$3:$N$21,2,FALSE),"")</f>
        <v/>
      </c>
      <c r="F28" s="5"/>
      <c r="G28" s="5"/>
      <c r="H28" s="5"/>
      <c r="I28" s="5"/>
      <c r="J28" s="5"/>
      <c r="K28" s="5"/>
      <c r="L28" s="5"/>
      <c r="M28" s="17" t="str">
        <f t="shared" si="0"/>
        <v/>
      </c>
      <c r="N28" s="6" t="str">
        <f t="shared" si="1"/>
        <v/>
      </c>
      <c r="O28" s="5"/>
      <c r="P28" s="5"/>
      <c r="Q28" s="5"/>
    </row>
    <row r="29" spans="1:17">
      <c r="A29" s="2"/>
      <c r="B29" s="2"/>
      <c r="C29" s="2"/>
      <c r="D29" s="2"/>
      <c r="E29" s="15" t="str">
        <f>IFERROR(VLOOKUP(D29,Projects!$M$3:$N$21,2,FALSE),"")</f>
        <v/>
      </c>
      <c r="F29" s="2"/>
      <c r="G29" s="2"/>
      <c r="H29" s="2"/>
      <c r="I29" s="2"/>
      <c r="J29" s="2"/>
      <c r="K29" s="2"/>
      <c r="L29" s="2"/>
      <c r="M29" s="16" t="str">
        <f t="shared" si="0"/>
        <v/>
      </c>
      <c r="N29" s="3" t="str">
        <f t="shared" si="1"/>
        <v/>
      </c>
      <c r="O29" s="2"/>
      <c r="P29" s="2"/>
      <c r="Q29" s="2"/>
    </row>
    <row r="30" spans="1:17">
      <c r="A30" s="5"/>
      <c r="B30" s="5"/>
      <c r="C30" s="5"/>
      <c r="D30" s="5"/>
      <c r="E30" s="15" t="str">
        <f>IFERROR(VLOOKUP(D30,Projects!$M$3:$N$21,2,FALSE),"")</f>
        <v/>
      </c>
      <c r="F30" s="5"/>
      <c r="G30" s="5"/>
      <c r="H30" s="5"/>
      <c r="I30" s="5"/>
      <c r="J30" s="5"/>
      <c r="K30" s="5"/>
      <c r="L30" s="5"/>
      <c r="M30" s="17" t="str">
        <f t="shared" si="0"/>
        <v/>
      </c>
      <c r="N30" s="6" t="str">
        <f t="shared" si="1"/>
        <v/>
      </c>
      <c r="O30" s="5"/>
      <c r="P30" s="5"/>
      <c r="Q30" s="5"/>
    </row>
    <row r="31" spans="1:17">
      <c r="A31" s="2"/>
      <c r="B31" s="2"/>
      <c r="C31" s="2"/>
      <c r="D31" s="2"/>
      <c r="E31" s="15" t="str">
        <f>IFERROR(VLOOKUP(D31,Projects!$M$3:$N$21,2,FALSE),"")</f>
        <v/>
      </c>
      <c r="F31" s="2"/>
      <c r="G31" s="2"/>
      <c r="H31" s="2"/>
      <c r="I31" s="2"/>
      <c r="J31" s="2"/>
      <c r="K31" s="2"/>
      <c r="L31" s="2"/>
      <c r="M31" s="16" t="str">
        <f t="shared" si="0"/>
        <v/>
      </c>
      <c r="N31" s="3" t="str">
        <f t="shared" si="1"/>
        <v/>
      </c>
      <c r="O31" s="2"/>
      <c r="P31" s="2"/>
      <c r="Q31" s="2"/>
    </row>
    <row r="32" spans="1:17">
      <c r="A32" s="5"/>
      <c r="B32" s="5"/>
      <c r="C32" s="5"/>
      <c r="D32" s="5"/>
      <c r="E32" s="15" t="str">
        <f>IFERROR(VLOOKUP(D32,Projects!$M$3:$N$21,2,FALSE),"")</f>
        <v/>
      </c>
      <c r="F32" s="5"/>
      <c r="G32" s="5"/>
      <c r="H32" s="5"/>
      <c r="I32" s="5"/>
      <c r="J32" s="5"/>
      <c r="K32" s="5"/>
      <c r="L32" s="5"/>
      <c r="M32" s="17" t="str">
        <f t="shared" si="0"/>
        <v/>
      </c>
      <c r="N32" s="6" t="str">
        <f t="shared" si="1"/>
        <v/>
      </c>
      <c r="O32" s="5"/>
      <c r="P32" s="5"/>
      <c r="Q32" s="5"/>
    </row>
    <row r="33" spans="1:17">
      <c r="A33" s="2"/>
      <c r="B33" s="2"/>
      <c r="C33" s="2"/>
      <c r="D33" s="2"/>
      <c r="E33" s="15" t="str">
        <f>IFERROR(VLOOKUP(D33,Projects!$M$3:$N$21,2,FALSE),"")</f>
        <v/>
      </c>
      <c r="F33" s="2"/>
      <c r="G33" s="2"/>
      <c r="H33" s="2"/>
      <c r="I33" s="2"/>
      <c r="J33" s="2"/>
      <c r="K33" s="2"/>
      <c r="L33" s="2"/>
      <c r="M33" s="16" t="str">
        <f t="shared" si="0"/>
        <v/>
      </c>
      <c r="N33" s="3" t="str">
        <f t="shared" si="1"/>
        <v/>
      </c>
      <c r="O33" s="2"/>
      <c r="P33" s="2"/>
      <c r="Q33" s="2"/>
    </row>
    <row r="34" spans="1:17">
      <c r="A34" s="5"/>
      <c r="B34" s="5"/>
      <c r="C34" s="5"/>
      <c r="D34" s="5"/>
      <c r="E34" s="15" t="str">
        <f>IFERROR(VLOOKUP(D34,Projects!$M$3:$N$21,2,FALSE),"")</f>
        <v/>
      </c>
      <c r="F34" s="5"/>
      <c r="G34" s="5"/>
      <c r="H34" s="5"/>
      <c r="I34" s="5"/>
      <c r="J34" s="5"/>
      <c r="K34" s="5"/>
      <c r="L34" s="5"/>
      <c r="M34" s="17" t="str">
        <f t="shared" si="0"/>
        <v/>
      </c>
      <c r="N34" s="6" t="str">
        <f t="shared" si="1"/>
        <v/>
      </c>
      <c r="O34" s="5"/>
      <c r="P34" s="5"/>
      <c r="Q34" s="5"/>
    </row>
    <row r="35" spans="1:17">
      <c r="A35" s="2"/>
      <c r="B35" s="2"/>
      <c r="C35" s="2"/>
      <c r="D35" s="2"/>
      <c r="E35" s="15" t="str">
        <f>IFERROR(VLOOKUP(D35,Projects!$M$3:$N$21,2,FALSE),"")</f>
        <v/>
      </c>
      <c r="F35" s="2"/>
      <c r="G35" s="2"/>
      <c r="H35" s="2"/>
      <c r="I35" s="2"/>
      <c r="J35" s="2"/>
      <c r="K35" s="2"/>
      <c r="L35" s="2"/>
      <c r="M35" s="16" t="str">
        <f t="shared" si="0"/>
        <v/>
      </c>
      <c r="N35" s="3" t="str">
        <f t="shared" si="1"/>
        <v/>
      </c>
      <c r="O35" s="2"/>
      <c r="P35" s="2"/>
      <c r="Q35" s="2"/>
    </row>
    <row r="36" spans="1:17">
      <c r="A36" s="5"/>
      <c r="B36" s="5"/>
      <c r="C36" s="5"/>
      <c r="D36" s="5"/>
      <c r="E36" s="15" t="str">
        <f>IFERROR(VLOOKUP(D36,Projects!$M$3:$N$21,2,FALSE),"")</f>
        <v/>
      </c>
      <c r="F36" s="5"/>
      <c r="G36" s="5"/>
      <c r="H36" s="5"/>
      <c r="I36" s="5"/>
      <c r="J36" s="5"/>
      <c r="K36" s="5"/>
      <c r="L36" s="5"/>
      <c r="M36" s="17" t="str">
        <f t="shared" si="0"/>
        <v/>
      </c>
      <c r="N36" s="6" t="str">
        <f t="shared" si="1"/>
        <v/>
      </c>
      <c r="O36" s="5"/>
      <c r="P36" s="5"/>
      <c r="Q36" s="5"/>
    </row>
    <row r="37" spans="1:17">
      <c r="A37" s="2"/>
      <c r="B37" s="2"/>
      <c r="C37" s="2"/>
      <c r="D37" s="2"/>
      <c r="E37" s="15" t="str">
        <f>IFERROR(VLOOKUP(D37,Projects!$M$3:$N$21,2,FALSE),"")</f>
        <v/>
      </c>
      <c r="F37" s="2"/>
      <c r="G37" s="2"/>
      <c r="H37" s="2"/>
      <c r="I37" s="2"/>
      <c r="J37" s="2"/>
      <c r="K37" s="2"/>
      <c r="L37" s="2"/>
      <c r="M37" s="16" t="str">
        <f t="shared" si="0"/>
        <v/>
      </c>
      <c r="N37" s="3" t="str">
        <f t="shared" si="1"/>
        <v/>
      </c>
      <c r="O37" s="2"/>
      <c r="P37" s="2"/>
      <c r="Q37" s="2"/>
    </row>
    <row r="38" spans="1:17">
      <c r="A38" s="5"/>
      <c r="B38" s="5"/>
      <c r="C38" s="5"/>
      <c r="D38" s="5"/>
      <c r="E38" s="15" t="str">
        <f>IFERROR(VLOOKUP(D38,Projects!$M$3:$N$21,2,FALSE),"")</f>
        <v/>
      </c>
      <c r="F38" s="5"/>
      <c r="G38" s="5"/>
      <c r="H38" s="5"/>
      <c r="I38" s="5"/>
      <c r="J38" s="5"/>
      <c r="K38" s="5"/>
      <c r="L38" s="5"/>
      <c r="M38" s="17" t="str">
        <f t="shared" si="0"/>
        <v/>
      </c>
      <c r="N38" s="6" t="str">
        <f t="shared" si="1"/>
        <v/>
      </c>
      <c r="O38" s="5"/>
      <c r="P38" s="5"/>
      <c r="Q38" s="5"/>
    </row>
    <row r="39" spans="1:17">
      <c r="A39" s="2"/>
      <c r="B39" s="2"/>
      <c r="C39" s="2"/>
      <c r="D39" s="2"/>
      <c r="E39" s="15" t="str">
        <f>IFERROR(VLOOKUP(D39,Projects!$M$3:$N$21,2,FALSE),"")</f>
        <v/>
      </c>
      <c r="F39" s="2"/>
      <c r="G39" s="2"/>
      <c r="H39" s="2"/>
      <c r="I39" s="2"/>
      <c r="J39" s="2"/>
      <c r="K39" s="2"/>
      <c r="L39" s="2"/>
      <c r="M39" s="16" t="str">
        <f t="shared" si="0"/>
        <v/>
      </c>
      <c r="N39" s="3" t="str">
        <f t="shared" si="1"/>
        <v/>
      </c>
      <c r="O39" s="2"/>
      <c r="P39" s="2"/>
      <c r="Q39" s="2"/>
    </row>
    <row r="40" spans="1:17">
      <c r="A40" s="5"/>
      <c r="B40" s="5"/>
      <c r="C40" s="5"/>
      <c r="D40" s="5"/>
      <c r="E40" s="15" t="str">
        <f>IFERROR(VLOOKUP(D40,Projects!$M$3:$N$21,2,FALSE),"")</f>
        <v/>
      </c>
      <c r="F40" s="5"/>
      <c r="G40" s="5"/>
      <c r="H40" s="5"/>
      <c r="I40" s="5"/>
      <c r="J40" s="5"/>
      <c r="K40" s="5"/>
      <c r="L40" s="5"/>
      <c r="M40" s="17" t="str">
        <f t="shared" si="0"/>
        <v/>
      </c>
      <c r="N40" s="6" t="str">
        <f t="shared" si="1"/>
        <v/>
      </c>
      <c r="O40" s="5"/>
      <c r="P40" s="5"/>
      <c r="Q40" s="5"/>
    </row>
    <row r="41" spans="1:17">
      <c r="A41" s="2"/>
      <c r="B41" s="2"/>
      <c r="C41" s="2"/>
      <c r="D41" s="2"/>
      <c r="E41" s="15" t="str">
        <f>IFERROR(VLOOKUP(D41,Projects!$M$3:$N$21,2,FALSE),"")</f>
        <v/>
      </c>
      <c r="F41" s="2"/>
      <c r="G41" s="2"/>
      <c r="H41" s="2"/>
      <c r="I41" s="2"/>
      <c r="J41" s="2"/>
      <c r="K41" s="2"/>
      <c r="L41" s="2"/>
      <c r="M41" s="16" t="str">
        <f t="shared" si="0"/>
        <v/>
      </c>
      <c r="N41" s="3" t="str">
        <f t="shared" si="1"/>
        <v/>
      </c>
      <c r="O41" s="2"/>
      <c r="P41" s="2"/>
      <c r="Q41" s="2"/>
    </row>
    <row r="42" spans="1:17">
      <c r="A42" s="5"/>
      <c r="B42" s="5"/>
      <c r="C42" s="5"/>
      <c r="D42" s="5"/>
      <c r="E42" s="15" t="str">
        <f>IFERROR(VLOOKUP(D42,Projects!$M$3:$N$21,2,FALSE),"")</f>
        <v/>
      </c>
      <c r="F42" s="5"/>
      <c r="G42" s="5"/>
      <c r="H42" s="5"/>
      <c r="I42" s="5"/>
      <c r="J42" s="5"/>
      <c r="K42" s="5"/>
      <c r="L42" s="5"/>
      <c r="M42" s="17" t="str">
        <f t="shared" si="0"/>
        <v/>
      </c>
      <c r="N42" s="6" t="str">
        <f t="shared" si="1"/>
        <v/>
      </c>
      <c r="O42" s="5"/>
      <c r="P42" s="5"/>
      <c r="Q42" s="5"/>
    </row>
    <row r="43" spans="1:17">
      <c r="A43" s="2"/>
      <c r="B43" s="2"/>
      <c r="C43" s="2"/>
      <c r="D43" s="2"/>
      <c r="E43" s="15" t="str">
        <f>IFERROR(VLOOKUP(D43,Projects!$M$3:$N$21,2,FALSE),"")</f>
        <v/>
      </c>
      <c r="F43" s="2"/>
      <c r="G43" s="2"/>
      <c r="H43" s="2"/>
      <c r="I43" s="2"/>
      <c r="J43" s="2"/>
      <c r="K43" s="2"/>
      <c r="L43" s="2"/>
      <c r="M43" s="16" t="str">
        <f t="shared" si="0"/>
        <v/>
      </c>
      <c r="N43" s="3" t="str">
        <f t="shared" si="1"/>
        <v/>
      </c>
      <c r="O43" s="2"/>
      <c r="P43" s="2"/>
      <c r="Q43" s="2"/>
    </row>
    <row r="44" spans="1:17">
      <c r="A44" s="5"/>
      <c r="B44" s="5"/>
      <c r="C44" s="5"/>
      <c r="D44" s="5"/>
      <c r="E44" s="15" t="str">
        <f>IFERROR(VLOOKUP(D44,Projects!$M$3:$N$21,2,FALSE),"")</f>
        <v/>
      </c>
      <c r="F44" s="5"/>
      <c r="G44" s="5"/>
      <c r="H44" s="5"/>
      <c r="I44" s="5"/>
      <c r="J44" s="5"/>
      <c r="K44" s="5"/>
      <c r="L44" s="5"/>
      <c r="M44" s="17" t="str">
        <f t="shared" si="0"/>
        <v/>
      </c>
      <c r="N44" s="6" t="str">
        <f t="shared" si="1"/>
        <v/>
      </c>
      <c r="O44" s="5"/>
      <c r="P44" s="5"/>
      <c r="Q44" s="5"/>
    </row>
    <row r="47" spans="1:17">
      <c r="A47" s="71" t="s">
        <v>745</v>
      </c>
      <c r="B47" s="72"/>
      <c r="C47" s="72"/>
      <c r="D47" s="72"/>
      <c r="E47" s="72"/>
      <c r="F47" s="72"/>
      <c r="G47" s="72"/>
      <c r="H47" s="72"/>
      <c r="I47" s="72"/>
      <c r="J47" s="72"/>
      <c r="K47" s="72"/>
      <c r="L47" s="72"/>
      <c r="M47" s="72"/>
      <c r="N47" s="72"/>
      <c r="O47" s="72"/>
      <c r="P47" s="72"/>
      <c r="Q47" s="72"/>
    </row>
    <row r="48" spans="1:17">
      <c r="A48" s="1" t="s">
        <v>576</v>
      </c>
      <c r="B48" s="1" t="s">
        <v>577</v>
      </c>
    </row>
    <row r="49" spans="1:2" ht="27.6">
      <c r="A49" s="18" t="s">
        <v>578</v>
      </c>
      <c r="B49" s="12">
        <f>COUNTA(G7:G44)</f>
        <v>6</v>
      </c>
    </row>
    <row r="50" spans="1:2" ht="41.45">
      <c r="A50" s="18" t="s">
        <v>579</v>
      </c>
      <c r="B50" s="12">
        <f>SUM(K7:K44)</f>
        <v>30</v>
      </c>
    </row>
    <row r="51" spans="1:2" ht="41.45">
      <c r="A51" s="18" t="s">
        <v>580</v>
      </c>
      <c r="B51" s="12">
        <f>SUM(L7:L44)</f>
        <v>5.25</v>
      </c>
    </row>
    <row r="52" spans="1:2" ht="27.6">
      <c r="A52" s="18" t="s">
        <v>581</v>
      </c>
      <c r="B52" s="12">
        <f>SUM(M7:M44)</f>
        <v>24.75</v>
      </c>
    </row>
    <row r="53" spans="1:2" ht="41.45">
      <c r="A53" s="18" t="s">
        <v>582</v>
      </c>
      <c r="B53" s="19">
        <f>IFERROR(AVERAGE(N7:N44),"")</f>
        <v>0.84722222222222221</v>
      </c>
    </row>
    <row r="54" spans="1:2" ht="41.45">
      <c r="A54" s="18" t="s">
        <v>583</v>
      </c>
      <c r="B54" s="20">
        <f>IFERROR(AVERAGE(O7:O44),"")</f>
        <v>4.666666666666667</v>
      </c>
    </row>
    <row r="55" spans="1:2" ht="27.6">
      <c r="A55" s="18" t="s">
        <v>584</v>
      </c>
      <c r="B55" s="12">
        <f>COUNTIF(P7:P44,"Completed")</f>
        <v>6</v>
      </c>
    </row>
    <row r="56" spans="1:2" ht="27.6">
      <c r="A56" s="18" t="s">
        <v>585</v>
      </c>
      <c r="B56" s="12">
        <f>COUNTIF(P7:P44,"In Progress")</f>
        <v>0</v>
      </c>
    </row>
    <row r="57" spans="1:2" ht="15"/>
    <row r="58" spans="1:2" ht="15"/>
  </sheetData>
  <mergeCells count="8">
    <mergeCell ref="A1:Q1"/>
    <mergeCell ref="A2:C2"/>
    <mergeCell ref="A47:Q47"/>
    <mergeCell ref="D2:F2"/>
    <mergeCell ref="D4:F4"/>
    <mergeCell ref="D3:F3"/>
    <mergeCell ref="A3:C3"/>
    <mergeCell ref="A4:C4"/>
  </mergeCells>
  <dataValidations count="4">
    <dataValidation type="list" allowBlank="1" errorTitle="Invalid Project" error="Please choose a valid Project Name from the Projects sheet." promptTitle="Project Name" prompt="Select a project" sqref="D7:D11 D13:D44" xr:uid="{00000000-0002-0000-0700-000001000000}">
      <formula1>GRC_Projects</formula1>
    </dataValidation>
    <dataValidation type="list" allowBlank="1" sqref="P7:P44" xr:uid="{00000000-0002-0000-0700-000003000000}">
      <formula1>"Not Started,In Progress,Completed,On Hold"</formula1>
    </dataValidation>
    <dataValidation type="whole" allowBlank="1" error="Enter a number between 1 and 5." sqref="O7:O44" xr:uid="{00000000-0002-0000-0700-000004000000}">
      <formula1>1</formula1>
      <formula2>5</formula2>
    </dataValidation>
    <dataValidation type="list" allowBlank="1" errorTitle="Invalid Project" error="Please choose a valid Project Name from the Projects sheet." promptTitle="Project Name" prompt="Select a project" sqref="D12" xr:uid="{C5E2D1E6-CBB5-4947-BC44-6AD66BADBBBB}">
      <formula1>BFSI_Projects</formula1>
    </dataValidation>
  </dataValidations>
  <pageMargins left="0.75" right="0.75" top="1" bottom="1" header="0.5" footer="0.5"/>
  <headerFooter>
    <oddFooter>&amp;C_x000D_&amp;1#&amp;"Aptos"&amp;10&amp;KFFFF00 Ejada Internal Use Only</oddFooter>
  </headerFooter>
  <extLst>
    <ext xmlns:x14="http://schemas.microsoft.com/office/spreadsheetml/2009/9/main" uri="{CCE6A557-97BC-4b89-ADB6-D9C93CAAB3DF}">
      <x14:dataValidations xmlns:xm="http://schemas.microsoft.com/office/excel/2006/main" count="3">
        <x14:dataValidation type="list" allowBlank="1" errorTitle="Invalid AI Tool" error="Please choose a valid AI Tool." promptTitle="AI Tool" prompt="Select the AI tool used" xr:uid="{00000000-0002-0000-0700-000002000000}">
          <x14:formula1>
            <xm:f>LOVs!$B$2:$B$7</xm:f>
          </x14:formula1>
          <xm:sqref>I7:I44</xm:sqref>
        </x14:dataValidation>
        <x14:dataValidation type="list" allowBlank="1" errorTitle="Invalid Category" error="Please choose a valid Task Category." promptTitle="Task Category" prompt="Select a task category" xr:uid="{00000000-0002-0000-0700-000000000000}">
          <x14:formula1>
            <xm:f>LOVs!$A$2:$A$7</xm:f>
          </x14:formula1>
          <xm:sqref>H7:H44</xm:sqref>
        </x14:dataValidation>
        <x14:dataValidation type="list" allowBlank="1" showInputMessage="1" showErrorMessage="1" xr:uid="{1D606AD5-9374-47F4-890A-DA3D96B92D62}">
          <x14:formula1>
            <xm:f>'Copliot User Access'!$B:$B</xm:f>
          </x14:formula1>
          <xm:sqref>F7:F44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312850b-6ea0-449d-9283-22a905a6366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B04241E07DFE4C962601CA265E7D7F" ma:contentTypeVersion="15" ma:contentTypeDescription="Create a new document." ma:contentTypeScope="" ma:versionID="5393c88d7a239edb8d2b7b7c2ba2f451">
  <xsd:schema xmlns:xsd="http://www.w3.org/2001/XMLSchema" xmlns:xs="http://www.w3.org/2001/XMLSchema" xmlns:p="http://schemas.microsoft.com/office/2006/metadata/properties" xmlns:ns3="fdf376f5-69b2-4fb5-bcdc-7c7ebf3f76e5" xmlns:ns4="2312850b-6ea0-449d-9283-22a905a6366a" targetNamespace="http://schemas.microsoft.com/office/2006/metadata/properties" ma:root="true" ma:fieldsID="52dfc0459b821c2b1904cd6141590024" ns3:_="" ns4:_="">
    <xsd:import namespace="fdf376f5-69b2-4fb5-bcdc-7c7ebf3f76e5"/>
    <xsd:import namespace="2312850b-6ea0-449d-9283-22a905a6366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SearchProperties" minOccurs="0"/>
                <xsd:element ref="ns4:MediaServiceDateTaken" minOccurs="0"/>
                <xsd:element ref="ns4:MediaServiceObjectDetectorVersion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376f5-69b2-4fb5-bcdc-7c7ebf3f76e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12850b-6ea0-449d-9283-22a905a6366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276049-75FC-4A2F-B85F-4D75E14B247A}"/>
</file>

<file path=customXml/itemProps2.xml><?xml version="1.0" encoding="utf-8"?>
<ds:datastoreItem xmlns:ds="http://schemas.openxmlformats.org/officeDocument/2006/customXml" ds:itemID="{AC71CB15-4B2C-47D1-A019-689A64527425}"/>
</file>

<file path=customXml/itemProps3.xml><?xml version="1.0" encoding="utf-8"?>
<ds:datastoreItem xmlns:ds="http://schemas.openxmlformats.org/officeDocument/2006/customXml" ds:itemID="{6CE6EC88-94C2-4D83-B14B-5D8016B8B44E}"/>
</file>

<file path=docMetadata/LabelInfo.xml><?xml version="1.0" encoding="utf-8"?>
<clbl:labelList xmlns:clbl="http://schemas.microsoft.com/office/2020/mipLabelMetadata">
  <clbl:label id="{0f1e79fc-1f4d-4187-a67d-c1c5354c13f8}" enabled="1" method="Standard" siteId="{e1304ad9-93ba-4557-8b20-8c1c1143b399}"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2026-02-27T22:14:55Z</dcterms:created>
  <dcterms:modified xsi:type="dcterms:W3CDTF">2026-04-14T19:20:36Z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0x01010044B04241E07DFE4C962601CA265E7D7F</vt:lpwstr>
  </property>
</Properties>
</file>