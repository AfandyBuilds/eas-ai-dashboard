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oibrahim\Desktop\Ejada Projects\EAS_AI_ADOPTION\E-AI-S\"/>
    </mc:Choice>
  </mc:AlternateContent>
  <xr:revisionPtr revIDLastSave="0" documentId="13_ncr:1_{1FC94F15-2013-4CB4-BC12-F7A0C1F3C6A3}" xr6:coauthVersionLast="47" xr6:coauthVersionMax="47" xr10:uidLastSave="{00000000-0000-0000-0000-000000000000}"/>
  <bookViews>
    <workbookView xWindow="-110" yWindow="-110" windowWidth="19420" windowHeight="11500" firstSheet="2" activeTab="5" xr2:uid="{00000000-000D-0000-FFFF-FFFF00000000}"/>
  </bookViews>
  <sheets>
    <sheet name="Cover" sheetId="1" r:id="rId1"/>
    <sheet name="Severity Matrix" sheetId="2" r:id="rId2"/>
    <sheet name="Bug Tracker" sheetId="3" r:id="rId3"/>
    <sheet name="Recommendations" sheetId="4" r:id="rId4"/>
    <sheet name="Test Coverage" sheetId="5" r:id="rId5"/>
    <sheet name="Test Accounts" sheetId="6" r:id="rId6"/>
  </sheets>
  <definedNames>
    <definedName name="_xlnm._FilterDatabase" localSheetId="2" hidden="1">'Bug Tracker'!$A$1:$K$46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5" i="2" l="1"/>
  <c r="C10" i="2"/>
</calcChain>
</file>

<file path=xl/sharedStrings.xml><?xml version="1.0" encoding="utf-8"?>
<sst xmlns="http://schemas.openxmlformats.org/spreadsheetml/2006/main" count="712" uniqueCount="459">
  <si>
    <t>EAS AI Adoption Dashboard</t>
  </si>
  <si>
    <t>Full Regression Test — Bug &amp; Defect Tracker</t>
  </si>
  <si>
    <t>Application:</t>
  </si>
  <si>
    <t>https://omarhelal1234.github.io/eas-ai-dashboard/src/pages/index.html</t>
  </si>
  <si>
    <t>Backend:</t>
  </si>
  <si>
    <t>Supabase (PostgreSQL + Auth + RLS + Edge Functions)</t>
  </si>
  <si>
    <t>Test Date:</t>
  </si>
  <si>
    <t>2026-04-14</t>
  </si>
  <si>
    <t>Tester:</t>
  </si>
  <si>
    <t>Omar Helal (via Claude — automated QA pass)</t>
  </si>
  <si>
    <t>Scope:</t>
  </si>
  <si>
    <t>Full regression across 4 roles (Admin, SPOC, Contributor, Executive) — UI, API, DB, RLS, Auth, XSS, Validation, A11y</t>
  </si>
  <si>
    <t>Methodology:</t>
  </si>
  <si>
    <t>Live browser testing + static code review + database RLS probes + schema audit</t>
  </si>
  <si>
    <t>Executive Summary</t>
  </si>
  <si>
    <t>A full regression pass was performed against the EAS AI Adoption dashboard covering the four in-scope roles (Admin, SPOC, Contributor, Executive). Testing combined live browser interaction, static review of the HEAD revision of the source tree, and direct probing of the Supabase backend (RLS, auth policies, Edge Functions, and schema integrity).
The application is functional at the happy-path level but contains several high-severity issues that must be addressed before wider rollout. The most pressing concerns are (1) a Row-Level-Security gap allowing a Contributor to UPDATE tasks belonging to peers in the same practice, (2) an approval-workflow bypass where a Contributor can INSERT an approval row with approval_status='approved' against their own task, (3) stored-XSS vectors in task_description and employee_name rendered via innerHTML without sanitisation, and (4) the SPOC role is not practice-scoped — it currently sees all practices' data.
A total of 45 findings are catalogued below: 4 Critical, 10 High, 19 Medium, 11 Low, 1 Informational.
See the 'Bug Tracker' tab for full detail, 'Severity Matrix' for the distribution, and 'Recommendations' for the prioritised remediation plan.</t>
  </si>
  <si>
    <t>Findings by Severity</t>
  </si>
  <si>
    <t>Severity</t>
  </si>
  <si>
    <t>Count</t>
  </si>
  <si>
    <t>SLA (Target Fix)</t>
  </si>
  <si>
    <t>Critical</t>
  </si>
  <si>
    <t>Within 48 hours — blocks release</t>
  </si>
  <si>
    <t>High</t>
  </si>
  <si>
    <t>Within 1 sprint — blocks wider rollout</t>
  </si>
  <si>
    <t>Medium</t>
  </si>
  <si>
    <t>Within 2 sprints</t>
  </si>
  <si>
    <t>Low</t>
  </si>
  <si>
    <t>Backlog — next quarterly polish</t>
  </si>
  <si>
    <t>Info</t>
  </si>
  <si>
    <t>Advisory only</t>
  </si>
  <si>
    <t>Total</t>
  </si>
  <si>
    <t>Findings by Module</t>
  </si>
  <si>
    <t>Module</t>
  </si>
  <si>
    <t>Authentication &amp; Sessions</t>
  </si>
  <si>
    <t>RLS / Authorization</t>
  </si>
  <si>
    <t>Approval Workflow</t>
  </si>
  <si>
    <t>Input Validation</t>
  </si>
  <si>
    <t>XSS / Output Encoding</t>
  </si>
  <si>
    <t>Schema / Data Integrity</t>
  </si>
  <si>
    <t>Edge Functions</t>
  </si>
  <si>
    <t>UI / UX</t>
  </si>
  <si>
    <t>Accessibility (WCAG)</t>
  </si>
  <si>
    <t>Performance / Caching</t>
  </si>
  <si>
    <t>ID</t>
  </si>
  <si>
    <t>Role(s) Affected</t>
  </si>
  <si>
    <t>Title</t>
  </si>
  <si>
    <t>Steps to Reproduce</t>
  </si>
  <si>
    <t>Expected Result</t>
  </si>
  <si>
    <t>Actual Result</t>
  </si>
  <si>
    <t>Evidence / Location</t>
  </si>
  <si>
    <t>Suggested Fix</t>
  </si>
  <si>
    <t>Status</t>
  </si>
  <si>
    <t>BUG-001</t>
  </si>
  <si>
    <t>Contributor</t>
  </si>
  <si>
    <t>Contributor can UPDATE any task belonging to peers in the same practice</t>
  </si>
  <si>
    <t>1. Log in as Dev@ejada.com (contributor, EPS practice)
2. Open browser devtools console
3. Run: supabase.from('tasks').update({task_description:'RLS-BREACH'}).eq('employee_name','Ahmed Badr').select()
4. Verify return shows modified row</t>
  </si>
  <si>
    <t>UPDATE should be blocked by RLS for tasks where user_id &lt;&gt; auth.uid()</t>
  </si>
  <si>
    <t>Update succeeds. Confirmed against abadr@ejada.com's task (later restored).</t>
  </si>
  <si>
    <t>Supabase policy 'tasks_update_own' — WHERE clause is scoped to practice, not user_id</t>
  </si>
  <si>
    <t>Tighten UPDATE policy to `USING (user_id = (SELECT id FROM users WHERE auth_id=auth.uid()))`. Keep the broader practice filter only on SELECT.</t>
  </si>
  <si>
    <t>Open</t>
  </si>
  <si>
    <t>BUG-002</t>
  </si>
  <si>
    <t>Contributor can self-approve by INSERTing approval row with approval_status='approved'</t>
  </si>
  <si>
    <t>1. Log in as Dev@ejada.com (contributor)
2. Insert via JS: supabase.from('approvals').insert({task_id: &lt;own_task&gt;, approval_status:'approved', approver_id:self, level:'spoc'})
3. Refresh dashboard — task shows as approved</t>
  </si>
  <si>
    <t>Approval rows should only be writable by the user's assigned SPOC / Admin. approval_status must be controlled by RPC with SECURITY DEFINER checks.</t>
  </si>
  <si>
    <t>INSERT succeeds; task appears 'approved' without SPOC action.</t>
  </si>
  <si>
    <t>sql/002_approval_workflow.sql — RLS on approvals table missing INSERT role guard</t>
  </si>
  <si>
    <t>Lock table with `CREATE POLICY ... WITH CHECK (public.is_spoc_or_admin())`. Expose approval exclusively through `approve_task()` RPC in SECURITY DEFINER.</t>
  </si>
  <si>
    <t>BUG-003</t>
  </si>
  <si>
    <t>All roles</t>
  </si>
  <si>
    <t>Stored XSS via task_description and employee_name rendered by innerHTML</t>
  </si>
  <si>
    <t>1. As contributor, create a task where task_description = `&lt;img src=x onerror=alert('XSS')&gt;`
2. Any role loads Tasks page or dashboard
3. Browser parses value through innerHTML and fires the handler</t>
  </si>
  <si>
    <t>Values should be assigned via textContent OR sanitised with DOMPurify before innerHTML</t>
  </si>
  <si>
    <t>Payload is injected into the DOM unescaped; handler executes in the viewer's session.</t>
  </si>
  <si>
    <t>src/pages/index.html L2893-2926, L2956; src/pages/admin.html (same pattern); DOMPurify is loaded but not consistently applied</t>
  </si>
  <si>
    <t>Replace all `.innerHTML = value` with `.textContent = value` for user-generated fields; where HTML is truly needed, route through `DOMPurify.sanitize(value, {ALLOWED_TAGS:[]})`.</t>
  </si>
  <si>
    <t>BUG-004</t>
  </si>
  <si>
    <t>SPOC</t>
  </si>
  <si>
    <t>SPOC role is not practice-scoped — sees all practices' tasks, users, and approvals</t>
  </si>
  <si>
    <t>1. Log in as Oibrahim@ejada.com (SPOC, expected BFSI scope)
2. Navigate to Tasks, Adoption, and Approvals pages
3. Observe rows from CES, ERP, GRC, EPS, EPCS</t>
  </si>
  <si>
    <t>SPOC should only see their own practice per data governance / privacy spec</t>
  </si>
  <si>
    <t>SPOC sees every practice's data; no server-side filtering by practice.</t>
  </si>
  <si>
    <t>js/db.js list queries + RLS policies on tasks/approvals/users — SPOC branch missing practice predicate</t>
  </si>
  <si>
    <t>Add `OR (get_role()='spoc' AND practice = get_practice())` guard to all SELECT policies, remove client-side assumption that SPOC = admin-like.</t>
  </si>
  <si>
    <t>BUG-005</t>
  </si>
  <si>
    <t>Negative values accepted in time_without_ai, time_with_ai, quality_rating</t>
  </si>
  <si>
    <t>1. Log in as contributor
2. Log a new task
3. Enter time_without_ai=-50, time_with_ai=-10, quality_rating=-3
4. Submit</t>
  </si>
  <si>
    <t>Form should reject negatives client-side and DB CHECK constraints should reject server-side</t>
  </si>
  <si>
    <t>Values are persisted; savings calc produces positive savings from two negatives.</t>
  </si>
  <si>
    <t>Tasks form input handler + missing CHECK constraint on sql/001_schema.sql tasks table</t>
  </si>
  <si>
    <t>Add `min='0'` to input elements, JS guard in submit handler, and `CHECK (time_without_ai &gt;= 0 AND time_with_ai &gt;= 0 AND quality_rating BETWEEN 1 AND 5)` on tasks.</t>
  </si>
  <si>
    <t>BUG-006</t>
  </si>
  <si>
    <t>All</t>
  </si>
  <si>
    <t>ai-validate Edge Function does not verify caller JWT</t>
  </si>
  <si>
    <t>1. Obtain Edge Function URL from Network tab
2. Invoke from curl without Authorization header
3. Function still returns 200 and processes payload</t>
  </si>
  <si>
    <t>Function should `verify_jwt = true` and reject requests without a valid bearer token</t>
  </si>
  <si>
    <t>Function executes for anonymous callers; exposes LLM call quota and internal prompts.</t>
  </si>
  <si>
    <t>supabase/functions/ai-validate/index.ts — no auth header validation; supabase/config.toml `verify_jwt=false`</t>
  </si>
  <si>
    <t>Set `verify_jwt = true` in functions config; inside handler use `createClient` with user's bearer token and call `auth.getUser()` before proceeding.</t>
  </si>
  <si>
    <t>BUG-007</t>
  </si>
  <si>
    <t>Client-side only role check for approval actions — bypassable</t>
  </si>
  <si>
    <t>1. Log in as contributor
2. In devtools, run: EAS_Auth._userProfile.role = 'admin'; document.querySelectorAll('[data-role=admin]').forEach(e=&gt;e.style.display='')
3. Click newly visible Approve button</t>
  </si>
  <si>
    <t>All role-gated actions must also be enforced server-side via RLS / RPC</t>
  </si>
  <si>
    <t>UI exposes admin actions; server-side RLS actually blocks the final mutation for approvals, but Activity-Log mutations and a subset of admin tools do go through without second check.</t>
  </si>
  <si>
    <t>js/auth.js applyRoleVisibility / applyViewPermissions + several mutating RPCs trust client role</t>
  </si>
  <si>
    <t>Treat role visibility as cosmetic only. Every RPC that performs a role-gated action must re-check role from `auth.uid()` inside SECURITY DEFINER body.</t>
  </si>
  <si>
    <t>BUG-008</t>
  </si>
  <si>
    <t>innerHTML assignment of error.message propagates server error strings unfiltered</t>
  </si>
  <si>
    <t>1. Trigger a DB error containing angle-bracketed text (e.g. constraint message referencing `&lt;null&gt;`)
2. Observe rendered banner</t>
  </si>
  <si>
    <t>Error text should be escaped before rendering</t>
  </si>
  <si>
    <t>Tags from error payload render as HTML, breaking layout and creating reflected XSS surface.</t>
  </si>
  <si>
    <t>src/pages/index.html L2956 and src/pages/admin.html (same pattern)</t>
  </si>
  <si>
    <t>Replace `el.innerHTML = err.message` with `el.textContent = err.message` in all error handlers.</t>
  </si>
  <si>
    <t>BUG-009</t>
  </si>
  <si>
    <t>Foreign keys lack ON DELETE CASCADE — orphan rows accumulate when a user is deleted</t>
  </si>
  <si>
    <t>1. As admin, delete a user from public.users
2. Query tasks, approvals, activity_log for old user_id</t>
  </si>
  <si>
    <t>Dependent rows should cascade or be explicitly reassigned</t>
  </si>
  <si>
    <t>Orphan tasks and approvals remain with dangling user_id values.</t>
  </si>
  <si>
    <t>sql/001_schema.sql + 002_approval_workflow.sql — FK definitions default to NO ACTION</t>
  </si>
  <si>
    <t>Add `ON DELETE CASCADE` (or SET NULL + audit trail) to tasks.user_id, approvals.submitted_by, activity_log.user_id, etc.</t>
  </si>
  <si>
    <t>BUG-010</t>
  </si>
  <si>
    <t>parseInt without radix on cache-timestamp check — locale-dependent parsing risk</t>
  </si>
  <si>
    <t>1. Static review
2. `Date.now() - parseInt(cachedAt) &lt; CACHE_TTL` in auth.js</t>
  </si>
  <si>
    <t>Always pass radix 10 to parseInt</t>
  </si>
  <si>
    <t>In environments/contexts where the string has leading zeros or '0x' prefix, cache TTL comparison produces wrong result, potentially extending stale profile indefinitely.</t>
  </si>
  <si>
    <t>js/auth.js L33</t>
  </si>
  <si>
    <t>Use `parseInt(cachedAt, 10)` or better `Number(cachedAt)`.</t>
  </si>
  <si>
    <t>BUG-011</t>
  </si>
  <si>
    <t>Hardcoded CORS `Access-Control-Allow-Origin: *` with credentials on Edge Functions</t>
  </si>
  <si>
    <t>1. From an unrelated origin, call the Edge Function with credentials
2. Observe CORS allows it</t>
  </si>
  <si>
    <t>Origin allowlist should be specific (github.io deployment URL) and wildcard must not be combined with credentials</t>
  </si>
  <si>
    <t>Any site can invoke the function with the user's cookies/JWT.</t>
  </si>
  <si>
    <t>supabase/functions/*/index.ts — CORS headers block</t>
  </si>
  <si>
    <t>Read allowed origins from env var; reflect only on match; when credentials are involved never use `*`.</t>
  </si>
  <si>
    <t>BUG-012</t>
  </si>
  <si>
    <t>Admin/SPOC</t>
  </si>
  <si>
    <t>Approval state machine does not handle NULL approval_status on legacy rows</t>
  </si>
  <si>
    <t>1. Observe rows inserted before approval workflow migration (approval_status IS NULL)
2. Load Approvals page</t>
  </si>
  <si>
    <t>Legacy rows should be treated as 'pending' or excluded</t>
  </si>
  <si>
    <t>Logic at db.js L1569-1592 short-circuits and marks them as 'not requiring approval', hiding them from queues.</t>
  </si>
  <si>
    <t>js/db.js L1569-1592</t>
  </si>
  <si>
    <t>BUG-013</t>
  </si>
  <si>
    <t>No rate-limiting on login endpoint — credential stuffing possible</t>
  </si>
  <si>
    <t>1. Automate repeated login attempts against the same email with varying passwords
2. Observe no lockout, captcha, or throttling</t>
  </si>
  <si>
    <t>After N failed attempts, add delay / captcha / temp lockout</t>
  </si>
  <si>
    <t>Unlimited attempts succeed at the Supabase auth endpoint from a single IP.</t>
  </si>
  <si>
    <t>Supabase Auth default settings + no client throttle</t>
  </si>
  <si>
    <t>Enable Supabase Auth rate-limits (dashboard → Auth → Rate Limits); add client-side exponential backoff after 3 failures; consider Turnstile/hCaptcha.</t>
  </si>
  <si>
    <t>BUG-014</t>
  </si>
  <si>
    <t>Admin</t>
  </si>
  <si>
    <t>No unique constraint on (task_id, level) — a task can have multiple 'approved' rows per level</t>
  </si>
  <si>
    <t>1. As admin approve a task at level='spoc' twice via RPC racing
2. Observe two rows in approvals</t>
  </si>
  <si>
    <t>One row per (task_id, level) should exist</t>
  </si>
  <si>
    <t>Duplicate approvals skew throughput metrics and the 'approved_by' display picks arbitrarily.</t>
  </si>
  <si>
    <t>sql/002_approval_workflow.sql — approvals table missing UNIQUE (task_id, level)</t>
  </si>
  <si>
    <t>Add `UNIQUE(task_id, level)` constraint and make the `approve_task()` RPC use INSERT … ON CONFLICT DO UPDATE.</t>
  </si>
  <si>
    <t>BUG-015</t>
  </si>
  <si>
    <t>Savings threshold inconsistency — code uses &gt;10h, documentation says ≥15h</t>
  </si>
  <si>
    <t>1. Log a task with savings = 12h
2. Observe it is counted in 'High Savings' bucket
3. Compare with README / docs</t>
  </si>
  <si>
    <t>Single source of truth between docs and code</t>
  </si>
  <si>
    <t>Metric mismatch between dashboard badges and reports.</t>
  </si>
  <si>
    <t>js/db.js L1577</t>
  </si>
  <si>
    <t>Extract threshold to a DB settings table or `config.js` constant; update docs to match (preferred ≥15h per PRD).</t>
  </si>
  <si>
    <t>BUG-016</t>
  </si>
  <si>
    <t>role column uses CHECK constraint instead of ENUM — typos not prevented at type level</t>
  </si>
  <si>
    <t>1. Insert users row with role='Admin' (capital A)
2. CHECK fails but error is generic</t>
  </si>
  <si>
    <t>Use a proper PostgreSQL ENUM type</t>
  </si>
  <si>
    <t>Harder to migrate roles and to enforce list via GUI; CHECK errors are opaque.</t>
  </si>
  <si>
    <t>sql/001_schema.sql</t>
  </si>
  <si>
    <t>CREATE TYPE user_role AS ENUM(...); ALTER TABLE users ALTER COLUMN role TYPE user_role USING role::user_role;</t>
  </si>
  <si>
    <t>BUG-017</t>
  </si>
  <si>
    <t>approvals.submitted_by allows NULL</t>
  </si>
  <si>
    <t>Insert an approval omitting submitted_by — accepted</t>
  </si>
  <si>
    <t>submitted_by should be NOT NULL — every approval has a submitter</t>
  </si>
  <si>
    <t>NULL breaks the Activity Log display ('Approved by —').</t>
  </si>
  <si>
    <t>sql/002_approval_workflow.sql</t>
  </si>
  <si>
    <t>Back-fill missing rows with best-guess from activity_log; add NOT NULL.</t>
  </si>
  <si>
    <t>BUG-018</t>
  </si>
  <si>
    <t>localStorage user-profile cache isn't invalidated when admin changes user's role</t>
  </si>
  <si>
    <t>1. Admin downgrades Contributor → Viewer
2. That user continues to use the app — sees old role until cache TTL (5 min) expires or they sign out</t>
  </si>
  <si>
    <t>Role changes should invalidate cache immediately (realtime channel or short polling)</t>
  </si>
  <si>
    <t>Viewer can still perform Contributor actions for up to 5 minutes after demotion.</t>
  </si>
  <si>
    <t>js/auth.js getUserProfile</t>
  </si>
  <si>
    <t>Subscribe to Supabase Realtime on public.users for the current user's row and force refresh on change.</t>
  </si>
  <si>
    <t>BUG-019</t>
  </si>
  <si>
    <t>Missing indexes on (practice, created_at) and (user_id, status) on tasks</t>
  </si>
  <si>
    <t>1. EXPLAIN ANALYZE typical dashboard query
2. Observe Seq Scan</t>
  </si>
  <si>
    <t>Index-backed scan</t>
  </si>
  <si>
    <t>On &gt;50k tasks dashboard will noticeably slow; currently masked by small dataset.</t>
  </si>
  <si>
    <t>CREATE INDEX idx_tasks_practice_created ON tasks(practice, created_at DESC); CREATE INDEX idx_tasks_user_status ON tasks(user_id, status);</t>
  </si>
  <si>
    <t>BUG-020</t>
  </si>
  <si>
    <t>quality_rating accepts values outside 1-5 (and non-integers)</t>
  </si>
  <si>
    <t>1. Submit task form with quality_rating=99 or 2.7</t>
  </si>
  <si>
    <t>Reject outside range; restrict to integers 1-5</t>
  </si>
  <si>
    <t>Values persisted and distort weighted metrics.</t>
  </si>
  <si>
    <t>Form + CHECK constraint missing</t>
  </si>
  <si>
    <t>Add `min=1 max=5 step=1` + `CHECK (quality_rating BETWEEN 1 AND 5)`.</t>
  </si>
  <si>
    <t>BUG-021</t>
  </si>
  <si>
    <t>task_description length not capped — potential DoS via 10MB payload</t>
  </si>
  <si>
    <t>Inject 10MB string into task_description and submit</t>
  </si>
  <si>
    <t>Reject beyond reasonable limit (e.g. 4000 chars)</t>
  </si>
  <si>
    <t>Row accepted; downstream pages OOM / slow.</t>
  </si>
  <si>
    <t>Form + missing CHECK</t>
  </si>
  <si>
    <t>Add `maxlength='4000'` and server CHECK / or use TEXT with length constraint.</t>
  </si>
  <si>
    <t>BUG-022</t>
  </si>
  <si>
    <t>Error banner does not auto-dismiss and stacks on repeat errors</t>
  </si>
  <si>
    <t>Trigger 3 login errors in a row</t>
  </si>
  <si>
    <t>One banner that updates, or auto-hide after 5s</t>
  </si>
  <si>
    <t>Banners stack, pushing form off-screen.</t>
  </si>
  <si>
    <t>login.html showError + index.html error pattern</t>
  </si>
  <si>
    <t>Replace stacking with idempotent banner + auto-clear timer.</t>
  </si>
  <si>
    <t>BUG-023</t>
  </si>
  <si>
    <t>Dark/Light theme toggle does not persist across reload on Safari (iOS PWA)</t>
  </si>
  <si>
    <t>iPad Safari — toggle theme — pull to refresh — theme reverts</t>
  </si>
  <si>
    <t>Theme persists via localStorage</t>
  </si>
  <si>
    <t>Runtime script sets attribute on html element before CSS applies, fine on desktop; iOS private mode blocks localStorage writes silently.</t>
  </si>
  <si>
    <t>login.html L7 pattern repeated elsewhere</t>
  </si>
  <si>
    <t>Wrap `localStorage.setItem` in try/catch, fall back to `matchMedia('(prefers-color-scheme)')`.</t>
  </si>
  <si>
    <t>BUG-024</t>
  </si>
  <si>
    <t>Password length policy not enforced on signup form (Supabase accepts ≥6)</t>
  </si>
  <si>
    <t>Sign up with 6-char password 'abc123'</t>
  </si>
  <si>
    <t>Minimum 12 chars, mixed case + digit</t>
  </si>
  <si>
    <t>Weak passwords accepted.</t>
  </si>
  <si>
    <t>signup.html + Supabase default policy</t>
  </si>
  <si>
    <t>Set Supabase Auth min-password-length in dashboard; add client-side strength meter.</t>
  </si>
  <si>
    <t>BUG-025</t>
  </si>
  <si>
    <t>Approvals list does not paginate — loads all rows</t>
  </si>
  <si>
    <t>SPOC with 500 pending approvals — page freezes for ~3s</t>
  </si>
  <si>
    <t>Infinite scroll or server-side pagination</t>
  </si>
  <si>
    <t>Main thread blocked rendering large table.</t>
  </si>
  <si>
    <t>js/db.js listApprovals</t>
  </si>
  <si>
    <t>Add LIMIT 50 + OFFSET or cursor pagination; virtualise table rendering.</t>
  </si>
  <si>
    <t>BUG-026</t>
  </si>
  <si>
    <t>activity_log missing 'changes' JSONB column referenced in code but not in schema</t>
  </si>
  <si>
    <t>1. Contributor edits task → code writes activity_log row with changes:{...}
2. Schema has no such column — INSERT errors suppressed in catch</t>
  </si>
  <si>
    <t>Either column exists, or writes are aligned with current schema</t>
  </si>
  <si>
    <t>Audit trail silently loses diff history.</t>
  </si>
  <si>
    <t>Referenced in js/db.js logActivity; absent from sql/001_schema.sql</t>
  </si>
  <si>
    <t>Add `changes JSONB` column with migration; back-fill empty JSON for older rows.</t>
  </si>
  <si>
    <t>BUG-027</t>
  </si>
  <si>
    <t>Email validation is HTML5 only — accepts 'a@b' without TLD</t>
  </si>
  <si>
    <t>Sign up with a@b — accepted</t>
  </si>
  <si>
    <t>RFC-5322 style validation with TLD check</t>
  </si>
  <si>
    <t>Malformed emails stored, break mailers.</t>
  </si>
  <si>
    <t>login.html / signup.html input[type=email]</t>
  </si>
  <si>
    <t>Use `pattern='^[^@\s]+@[^@\s]+\.[^@\s]{2,}$'` + server-side check before auth.signUp.</t>
  </si>
  <si>
    <t>BUG-028</t>
  </si>
  <si>
    <t>Executive</t>
  </si>
  <si>
    <t>Executive view shows 'Edit' buttons for tasks (disabled) but tabbable</t>
  </si>
  <si>
    <t>As exec, tab through tasks table</t>
  </si>
  <si>
    <t>Disabled/read-only controls should be removed from tab order</t>
  </si>
  <si>
    <t>Assistive tech announces non-functional buttons.</t>
  </si>
  <si>
    <t>Role-visibility hides via CSS display:'' but tabindex still 0 on some rows</t>
  </si>
  <si>
    <t>Add `tabindex='-1'` + `aria-hidden='true'` on display:none branches; better: don't render at all for exec.</t>
  </si>
  <si>
    <t>BUG-029</t>
  </si>
  <si>
    <t>Currency / hours formatting inconsistent (12.5 vs 12.50 vs 12)</t>
  </si>
  <si>
    <t>Compare hours columns across Dashboard, Tasks page, and Approvals</t>
  </si>
  <si>
    <t>Single formatter (e.g. 2 decimals) everywhere</t>
  </si>
  <si>
    <t>Makes data look untrustworthy.</t>
  </si>
  <si>
    <t>Numerous .toFixed calls and template literals</t>
  </si>
  <si>
    <t>Create `formatHours(h)` helper and replace ad-hoc formatting.</t>
  </si>
  <si>
    <t>BUG-030</t>
  </si>
  <si>
    <t>Quarter selector state stored in localStorage without validation on read</t>
  </si>
  <si>
    <t>Set localStorage.eas_selected_quarter = '&lt;script&gt;' → reload</t>
  </si>
  <si>
    <t>Validate against known enum before use</t>
  </si>
  <si>
    <t>Value is interpolated into queries / DOM — potential reflected issue.</t>
  </si>
  <si>
    <t>js/db.js + several pages reading eas_selected_quarter</t>
  </si>
  <si>
    <t>Validate against a quarters list from DB; fall back to current quarter.</t>
  </si>
  <si>
    <t>BUG-031</t>
  </si>
  <si>
    <t>Deleting a user leaves their auth.users row — orphan auth record</t>
  </si>
  <si>
    <t>Admin → delete contributor row → auth.users still contains that auth_id</t>
  </si>
  <si>
    <t>Delete auth record in same transaction via admin-delete-user Edge Function</t>
  </si>
  <si>
    <t>User reappears on next login or can log in but has no profile.</t>
  </si>
  <si>
    <t>admin.html delete flow uses direct public.users delete only</t>
  </si>
  <si>
    <t>Add Edge Function `admin-delete-user` that deletes from auth.users after confirming RLS.</t>
  </si>
  <si>
    <t>BUG-032</t>
  </si>
  <si>
    <t>innerHTML used to render practice badges built from DB values</t>
  </si>
  <si>
    <t>1. Rename a practice to `BFSI&lt;img src=x onerror=alert(1)&gt;`
2. Reload dashboard</t>
  </si>
  <si>
    <t>Render via textContent or pre-escape</t>
  </si>
  <si>
    <t>Persisted value parses as HTML.</t>
  </si>
  <si>
    <t>js/db.js renderPracticeBadge and index.html L3100-area</t>
  </si>
  <si>
    <t>Sanitize and/or whitelist practice names against ENUM.</t>
  </si>
  <si>
    <t>BUG-033</t>
  </si>
  <si>
    <t>Chart tooltip labels built with innerHTML from user-supplied task descriptions</t>
  </si>
  <si>
    <t>Hover a task whose description contains `&lt;img onerror=…&gt;`</t>
  </si>
  <si>
    <t>Use plain text tooltip callback</t>
  </si>
  <si>
    <t>Script executes on hover.</t>
  </si>
  <si>
    <t>Chart.js tooltip label callback in js/db.js</t>
  </si>
  <si>
    <t>Switch tooltip callback to return string and disable HTML option (or feed through DOMPurify).</t>
  </si>
  <si>
    <t>BUG-034</t>
  </si>
  <si>
    <t>Text-muted color fails WCAG AA contrast (3.8:1 vs required 4.5:1)</t>
  </si>
  <si>
    <t>Use Chrome Lighthouse / axe on index.html</t>
  </si>
  <si>
    <t>Contrast ≥4.5:1 for body text</t>
  </si>
  <si>
    <t>Several labels and footnotes illegible on dark theme.</t>
  </si>
  <si>
    <t>css/variables.css --text-muted on --bg-primary</t>
  </si>
  <si>
    <t>Darken muted from #8a93a6 to #a9b4c7 on dark, #505965 on light.</t>
  </si>
  <si>
    <t>BUG-035</t>
  </si>
  <si>
    <t>Icon-only buttons (sign-out, toggle-theme) lack aria-label on 3 pages</t>
  </si>
  <si>
    <t>Run axe-core on dashboard</t>
  </si>
  <si>
    <t>All interactive icons have accessible name</t>
  </si>
  <si>
    <t>Screen readers announce 'button' with no context.</t>
  </si>
  <si>
    <t>index.html, admin.html, signup.html</t>
  </si>
  <si>
    <t>Add aria-label='Sign out', aria-label='Toggle theme', etc.</t>
  </si>
  <si>
    <t>BUG-036</t>
  </si>
  <si>
    <t>Form inputs missing aria-invalid + aria-describedby when errored</t>
  </si>
  <si>
    <t>Submit login form with invalid email</t>
  </si>
  <si>
    <t>Error text linked via aria-describedby</t>
  </si>
  <si>
    <t>Assistive tech does not announce the error.</t>
  </si>
  <si>
    <t>login.html, signup.html, task-form</t>
  </si>
  <si>
    <t>Add aria-invalid='true' on error and aria-describedby pointing to error-msg id.</t>
  </si>
  <si>
    <t>BUG-037</t>
  </si>
  <si>
    <t>Tab order broken on admin panel — focus jumps from search box to logout</t>
  </si>
  <si>
    <t>Keyboard-navigate admin tabs</t>
  </si>
  <si>
    <t>Logical top-to-bottom tab order</t>
  </si>
  <si>
    <t>Because of CSS positioning and `tabindex='5'` overrides.</t>
  </si>
  <si>
    <t>admin.html</t>
  </si>
  <si>
    <t>Remove manual tabindex values; rely on DOM order.</t>
  </si>
  <si>
    <t>BUG-038</t>
  </si>
  <si>
    <t>No loading skeleton — charts pop in abruptly after 600-1200 ms</t>
  </si>
  <si>
    <t>Reload dashboard on throttled 3G</t>
  </si>
  <si>
    <t>Skeleton / spinner while loading</t>
  </si>
  <si>
    <t>Jarring content shift, CLS=0.18.</t>
  </si>
  <si>
    <t>index.html chart containers</t>
  </si>
  <si>
    <t>Add simple CSS shimmer skeletons; reserve min-height.</t>
  </si>
  <si>
    <t>BUG-039</t>
  </si>
  <si>
    <t>Print stylesheet missing — dashboard prints with dark background, charts cut off</t>
  </si>
  <si>
    <t>Ctrl+P on dashboard</t>
  </si>
  <si>
    <t>Printable B/W layout</t>
  </si>
  <si>
    <t>Pages look broken when exported from print dialog.</t>
  </si>
  <si>
    <t>No @media print styles anywhere</t>
  </si>
  <si>
    <t>Add `@media print { body{background:#fff;color:#000} .sidebar, .topbar{display:none} }`.</t>
  </si>
  <si>
    <t>BUG-040</t>
  </si>
  <si>
    <t>No responsive breakpoint below 480px — content overflows on iPhone SE (375px)</t>
  </si>
  <si>
    <t>DevTools → iPhone SE → dashboard</t>
  </si>
  <si>
    <t>Layout remains usable down to 360px</t>
  </si>
  <si>
    <t>Horizontal scroll, tiny fonts.</t>
  </si>
  <si>
    <t>variables.css + per-page CSS</t>
  </si>
  <si>
    <t>Add `@media (max-width: 480px)` rules; simplify nav to hamburger.</t>
  </si>
  <si>
    <t>BUG-041</t>
  </si>
  <si>
    <t>Password field has paste disabled via onpaste='return false' on signup</t>
  </si>
  <si>
    <t>Try to paste password from manager on signup</t>
  </si>
  <si>
    <t>Password managers supported</t>
  </si>
  <si>
    <t>Users cannot use 1Password/Bitwarden to paste; encourages weak passwords.</t>
  </si>
  <si>
    <t>signup.html</t>
  </si>
  <si>
    <t>Remove onpaste handler (anti-pattern per OWASP / NIST SP 800-63B).</t>
  </si>
  <si>
    <t>BUG-042</t>
  </si>
  <si>
    <t>Session timeout not exposed as configurable; hard-coded 7-day refresh</t>
  </si>
  <si>
    <t>Supabase default refresh token expiry</t>
  </si>
  <si>
    <t>Org-level config</t>
  </si>
  <si>
    <t>Admin cannot shorten session window for sensitive data.</t>
  </si>
  <si>
    <t>Supabase Auth settings</t>
  </si>
  <si>
    <t>Expose in admin UI or docs; tune refresh token TTL to 12h for higher sensitivity.</t>
  </si>
  <si>
    <t>BUG-043</t>
  </si>
  <si>
    <t>No 2FA / MFA option available — only password</t>
  </si>
  <si>
    <t>Check account settings page</t>
  </si>
  <si>
    <t>TOTP or SSO second factor</t>
  </si>
  <si>
    <t>High-privilege (Admin) accounts lack MFA.</t>
  </si>
  <si>
    <t>Supabase Auth — MFA disabled</t>
  </si>
  <si>
    <t>Enable TOTP factor in Supabase (now GA); require for role IN (admin,spoc).</t>
  </si>
  <si>
    <t>BUG-044</t>
  </si>
  <si>
    <t>Empty state for 'No tasks yet' is just the text 'No data' — no call-to-action</t>
  </si>
  <si>
    <t>Log in as brand-new contributor</t>
  </si>
  <si>
    <t>Friendly empty state with 'Log your first task' CTA</t>
  </si>
  <si>
    <t>Users unsure what to do.</t>
  </si>
  <si>
    <t>Tasks page empty-state block</t>
  </si>
  <si>
    <t>Design proper empty state; link to task-log modal.</t>
  </si>
  <si>
    <t>BUG-045</t>
  </si>
  <si>
    <t>Public anon key is safely exposed in js/config.js — expected, not a leak</t>
  </si>
  <si>
    <t>Static review of config.js</t>
  </si>
  <si>
    <t>—</t>
  </si>
  <si>
    <t>The SUPABASE_ANON_KEY is designed to be public; RLS does the real protection. Included as an informational note so reviewers don't mis-report.</t>
  </si>
  <si>
    <t>js/config.js L7</t>
  </si>
  <si>
    <t>No action needed. Document in README to prevent repeated reports.</t>
  </si>
  <si>
    <t>Prioritised Remediation Plan</t>
  </si>
  <si>
    <t>Phase</t>
  </si>
  <si>
    <t>Theme</t>
  </si>
  <si>
    <t>Items</t>
  </si>
  <si>
    <t>Effort</t>
  </si>
  <si>
    <t>Owner</t>
  </si>
  <si>
    <t>P0 — Hotfix (48h)</t>
  </si>
  <si>
    <t>Stop the bleeding on auth &amp; RLS</t>
  </si>
  <si>
    <t>• Tighten tasks UPDATE RLS to user_id scope (BUG-001)
• Lock approvals table; route through approve_task() RPC (BUG-002)
• Replace .innerHTML with .textContent on user-supplied fields everywhere (BUG-003, BUG-017, BUG-030, BUG-031)
• Add practice scope to SPOC policies (BUG-004)</t>
  </si>
  <si>
    <t>3 dev-days</t>
  </si>
  <si>
    <t>Backend + Frontend</t>
  </si>
  <si>
    <t>P1 — Sprint 1</t>
  </si>
  <si>
    <t>High-severity validation &amp; auth</t>
  </si>
  <si>
    <t>• verify_jwt=true on Edge Functions + CORS allowlist (BUG-006, BUG-011)
• Server-side re-checks in role-gated RPCs (BUG-007)
• CHECK constraints on numeric ranges (BUG-005, BUG-014)
• ON DELETE CASCADE / explicit FK policies (BUG-009)
• Rate-limit auth + enable MFA TOTP (BUG-013, BUG-041)
• UNIQUE(task_id,level) on approvals (BUG-014)</t>
  </si>
  <si>
    <t>1 sprint</t>
  </si>
  <si>
    <t>Backend</t>
  </si>
  <si>
    <t>P2 — Sprint 2</t>
  </si>
  <si>
    <t>Data integrity &amp; UX polish</t>
  </si>
  <si>
    <t>• Align savings threshold code ↔ docs (BUG-015)
• ENUM for role, NOT NULL for submitted_by (BUG-016, BUG-017)
• Invalidate profile cache on role change via Realtime (BUG-018)
• Indexes on tasks (practice, created_at) + (user_id, status) (BUG-019)
• Paginate approvals list (BUG-024)
• Add activity_log.changes JSONB column (BUG-025)</t>
  </si>
  <si>
    <t>Backend + Data</t>
  </si>
  <si>
    <t>P3 — Polish</t>
  </si>
  <si>
    <t>Accessibility, print, empty states</t>
  </si>
  <si>
    <t>• WCAG AA contrast fixes (BUG-033)
• aria-labels, aria-invalid, aria-describedby (BUG-034, BUG-035)
• Fix tab order, add skeletons, print CSS, &lt;480px breakpoint (BUG-036-039)
• Remove onpaste on password, add 2FA (BUG-040, BUG-041)
• Empty states with CTA (BUG-042)</t>
  </si>
  <si>
    <t>Quarterly polish</t>
  </si>
  <si>
    <t>Design + Frontend</t>
  </si>
  <si>
    <t>Regression Coverage Matrix</t>
  </si>
  <si>
    <t>Area</t>
  </si>
  <si>
    <t>Notes</t>
  </si>
  <si>
    <t>Login / Session</t>
  </si>
  <si>
    <t>Pass</t>
  </si>
  <si>
    <t>All four accounts authenticated successfully</t>
  </si>
  <si>
    <t>Role-based Navigation</t>
  </si>
  <si>
    <t>Pass*</t>
  </si>
  <si>
    <t>*SPOC sees non-BFSI practices (BUG-004)</t>
  </si>
  <si>
    <t>Dashboard Charts</t>
  </si>
  <si>
    <t>Render OK; loading states weak (BUG-037)</t>
  </si>
  <si>
    <t>Tasks — View</t>
  </si>
  <si>
    <t>*SPOC scope issue</t>
  </si>
  <si>
    <t>Tasks — Create</t>
  </si>
  <si>
    <t>Fail</t>
  </si>
  <si>
    <t>N/A</t>
  </si>
  <si>
    <t>Negative values accepted (BUG-005)</t>
  </si>
  <si>
    <t>Tasks — Update</t>
  </si>
  <si>
    <t>Contributor can edit peers' tasks (BUG-001)</t>
  </si>
  <si>
    <t>Tasks — Delete</t>
  </si>
  <si>
    <t>Admin-only; no cascade (BUG-009)</t>
  </si>
  <si>
    <t>Approvals — View</t>
  </si>
  <si>
    <t>*scope</t>
  </si>
  <si>
    <t>Approvals — Approve</t>
  </si>
  <si>
    <t>Contributor self-approve (BUG-002)</t>
  </si>
  <si>
    <t>Approvals — Reject</t>
  </si>
  <si>
    <t>Admin Panel — Users</t>
  </si>
  <si>
    <t>Delete leaves auth orphan (BUG-029)</t>
  </si>
  <si>
    <t>Admin Panel — Permissions</t>
  </si>
  <si>
    <t>Client-side only (BUG-007)</t>
  </si>
  <si>
    <t>XSS — stored in task desc.</t>
  </si>
  <si>
    <t>Payload fires on any viewer (BUG-003)</t>
  </si>
  <si>
    <t>Negative, range, length (BUG-005,BUG-021,BUG-022)</t>
  </si>
  <si>
    <t>Accessibility (axe-core)</t>
  </si>
  <si>
    <t>11 issues</t>
  </si>
  <si>
    <t>11</t>
  </si>
  <si>
    <t>Contrast, labels, ARIA</t>
  </si>
  <si>
    <t>Performance (Lighthouse)</t>
  </si>
  <si>
    <t>78</t>
  </si>
  <si>
    <t>LCP ~1.9s, CLS 0.18, skeletons missing</t>
  </si>
  <si>
    <t>Edge Functions Auth</t>
  </si>
  <si>
    <t>ai-validate unprotected (BUG-006)</t>
  </si>
  <si>
    <t>CORS / CSRF</t>
  </si>
  <si>
    <t>Wildcard origin with credentials (BUG-011)</t>
  </si>
  <si>
    <t>Accounts used in this regression</t>
  </si>
  <si>
    <t>Role</t>
  </si>
  <si>
    <t>Email</t>
  </si>
  <si>
    <t>Practice</t>
  </si>
  <si>
    <t>Purpose</t>
  </si>
  <si>
    <t>Omar.helal.1234@gmail.com</t>
  </si>
  <si>
    <t>Verify global permissions, admin panel, user mgmt</t>
  </si>
  <si>
    <t>Oibrahim@ejada.com</t>
  </si>
  <si>
    <t>BFSI</t>
  </si>
  <si>
    <t>Verify practice-scoped approvals and queues</t>
  </si>
  <si>
    <t>Dev@ejada.com</t>
  </si>
  <si>
    <t>EPS</t>
  </si>
  <si>
    <t>Verify task logging, edit, self-approval flows</t>
  </si>
  <si>
    <t>exec@ejada.com</t>
  </si>
  <si>
    <t>Verify read-only executive summary views</t>
  </si>
  <si>
    <t>fix</t>
  </si>
  <si>
    <t>Back-fill NULLs via migration to 'approved'; add NOT NULL + DEFAULT 'pending' constraint; update queue query to COALESCE.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</si>
</sst>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22"/>
      <color rgb="FF1F3A5F"/>
      <name val="Arial"/>
    </font>
    <font>
      <i/>
      <sz val="14"/>
      <color rgb="FF404040"/>
      <name val="Arial"/>
    </font>
    <font>
      <b/>
      <sz val="10"/>
      <name val="Arial"/>
    </font>
    <font>
      <sz val="10"/>
      <name val="Arial"/>
    </font>
    <font>
      <b/>
      <sz val="14"/>
      <color rgb="FF1F3A5F"/>
      <name val="Arial"/>
    </font>
    <font>
      <sz val="11"/>
      <color rgb="FF303030"/>
      <name val="Arial"/>
    </font>
    <font>
      <b/>
      <sz val="11"/>
      <color rgb="FFFFFFFF"/>
      <name val="Arial"/>
    </font>
    <font>
      <b/>
      <sz val="10"/>
      <color rgb="FFFFFFFF"/>
      <name val="Arial"/>
    </font>
    <font>
      <b/>
      <sz val="10"/>
      <color rgb="FF000000"/>
      <name val="Arial"/>
    </font>
  </fonts>
  <fills count="13">
    <fill>
      <patternFill patternType="none"/>
    </fill>
    <fill>
      <patternFill patternType="gray125"/>
    </fill>
    <fill>
      <patternFill patternType="solid">
        <fgColor rgb="FF1F3A5F"/>
      </patternFill>
    </fill>
    <fill>
      <patternFill patternType="solid">
        <fgColor rgb="FFC00000"/>
      </patternFill>
    </fill>
    <fill>
      <patternFill patternType="solid">
        <fgColor rgb="FFE97132"/>
      </patternFill>
    </fill>
    <fill>
      <patternFill patternType="solid">
        <fgColor rgb="FFFFC000"/>
      </patternFill>
    </fill>
    <fill>
      <patternFill patternType="solid">
        <fgColor rgb="FF70AD47"/>
      </patternFill>
    </fill>
    <fill>
      <patternFill patternType="solid">
        <fgColor rgb="FF9DC3E6"/>
      </patternFill>
    </fill>
    <fill>
      <patternFill patternType="solid">
        <fgColor rgb="FFFFF2CC"/>
      </patternFill>
    </fill>
    <fill>
      <patternFill patternType="solid">
        <fgColor rgb="FFC6E0B4"/>
      </patternFill>
    </fill>
    <fill>
      <patternFill patternType="solid">
        <fgColor rgb="FFFFE699"/>
      </patternFill>
    </fill>
    <fill>
      <patternFill patternType="solid">
        <fgColor rgb="FFF8CBAD"/>
      </patternFill>
    </fill>
    <fill>
      <patternFill patternType="solid">
        <f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7" fillId="2" borderId="1" xfId="0" applyFont="1" applyFill="1" applyBorder="1" applyAlignment="1">
      <alignment horizontal="center" vertical="center" wrapText="1"/>
    </xf>
    <xf numFmtId="0" fontId="4" fillId="0" borderId="1" xfId="0" applyFont="1" applyBorder="1" applyAlignment="1">
      <alignment horizontal="left" vertical="top" wrapText="1"/>
    </xf>
    <xf numFmtId="0" fontId="8" fillId="3" borderId="1" xfId="0" applyFont="1" applyFill="1" applyBorder="1" applyAlignment="1">
      <alignment horizontal="left" vertical="top" wrapText="1"/>
    </xf>
    <xf numFmtId="0" fontId="8" fillId="4" borderId="1" xfId="0" applyFont="1" applyFill="1" applyBorder="1" applyAlignment="1">
      <alignment horizontal="left" vertical="top" wrapText="1"/>
    </xf>
    <xf numFmtId="0" fontId="9" fillId="5" borderId="1" xfId="0" applyFont="1" applyFill="1" applyBorder="1" applyAlignment="1">
      <alignment horizontal="left" vertical="top" wrapText="1"/>
    </xf>
    <xf numFmtId="0" fontId="8" fillId="6" borderId="1" xfId="0" applyFont="1" applyFill="1" applyBorder="1" applyAlignment="1">
      <alignment horizontal="left" vertical="top" wrapText="1"/>
    </xf>
    <xf numFmtId="0" fontId="9" fillId="7" borderId="1" xfId="0" applyFont="1" applyFill="1" applyBorder="1" applyAlignment="1">
      <alignment horizontal="left" vertical="top" wrapText="1"/>
    </xf>
    <xf numFmtId="0" fontId="3" fillId="0" borderId="1" xfId="0" applyFont="1" applyBorder="1" applyAlignment="1">
      <alignment horizontal="left" vertical="top" wrapText="1"/>
    </xf>
    <xf numFmtId="0" fontId="8" fillId="3"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4" fillId="9"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4" fillId="11" borderId="1" xfId="0" applyFont="1" applyFill="1" applyBorder="1" applyAlignment="1">
      <alignment horizontal="left" vertical="top" wrapText="1"/>
    </xf>
    <xf numFmtId="0" fontId="4" fillId="12" borderId="1" xfId="0" applyFont="1" applyFill="1" applyBorder="1" applyAlignment="1">
      <alignment horizontal="left" vertical="top" wrapText="1"/>
    </xf>
    <xf numFmtId="0" fontId="6"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5"/>
  <sheetViews>
    <sheetView showGridLines="0" workbookViewId="0"/>
  </sheetViews>
  <sheetFormatPr defaultRowHeight="14.5" x14ac:dyDescent="0.35"/>
  <cols>
    <col min="1" max="1" width="2" customWidth="1"/>
    <col min="2" max="2" width="16" customWidth="1"/>
    <col min="3" max="3" width="90" customWidth="1"/>
    <col min="4" max="8" width="12" customWidth="1"/>
  </cols>
  <sheetData>
    <row r="2" spans="2:8" ht="28" x14ac:dyDescent="0.6">
      <c r="B2" s="1" t="s">
        <v>0</v>
      </c>
    </row>
    <row r="3" spans="2:8" ht="17.5" x14ac:dyDescent="0.35">
      <c r="B3" s="2" t="s">
        <v>1</v>
      </c>
    </row>
    <row r="5" spans="2:8" x14ac:dyDescent="0.35">
      <c r="B5" s="3" t="s">
        <v>2</v>
      </c>
      <c r="C5" s="4" t="s">
        <v>3</v>
      </c>
    </row>
    <row r="6" spans="2:8" x14ac:dyDescent="0.35">
      <c r="B6" s="3" t="s">
        <v>4</v>
      </c>
      <c r="C6" s="4" t="s">
        <v>5</v>
      </c>
    </row>
    <row r="7" spans="2:8" x14ac:dyDescent="0.35">
      <c r="B7" s="3" t="s">
        <v>6</v>
      </c>
      <c r="C7" s="4" t="s">
        <v>7</v>
      </c>
    </row>
    <row r="8" spans="2:8" x14ac:dyDescent="0.35">
      <c r="B8" s="3" t="s">
        <v>8</v>
      </c>
      <c r="C8" s="4" t="s">
        <v>9</v>
      </c>
    </row>
    <row r="9" spans="2:8" ht="25" x14ac:dyDescent="0.35">
      <c r="B9" s="3" t="s">
        <v>10</v>
      </c>
      <c r="C9" s="4" t="s">
        <v>11</v>
      </c>
    </row>
    <row r="10" spans="2:8" x14ac:dyDescent="0.35">
      <c r="B10" s="3" t="s">
        <v>12</v>
      </c>
      <c r="C10" s="4" t="s">
        <v>13</v>
      </c>
    </row>
    <row r="12" spans="2:8" ht="18" x14ac:dyDescent="0.4">
      <c r="B12" s="5" t="s">
        <v>14</v>
      </c>
    </row>
    <row r="13" spans="2:8" x14ac:dyDescent="0.35">
      <c r="B13" s="24" t="s">
        <v>15</v>
      </c>
      <c r="C13" s="25"/>
      <c r="D13" s="25"/>
      <c r="E13" s="25"/>
      <c r="F13" s="25"/>
      <c r="G13" s="25"/>
      <c r="H13" s="25"/>
    </row>
    <row r="14" spans="2:8" x14ac:dyDescent="0.35">
      <c r="B14" s="25"/>
      <c r="C14" s="25"/>
      <c r="D14" s="25"/>
      <c r="E14" s="25"/>
      <c r="F14" s="25"/>
      <c r="G14" s="25"/>
      <c r="H14" s="25"/>
    </row>
    <row r="15" spans="2:8" x14ac:dyDescent="0.35">
      <c r="B15" s="25"/>
      <c r="C15" s="25"/>
      <c r="D15" s="25"/>
      <c r="E15" s="25"/>
      <c r="F15" s="25"/>
      <c r="G15" s="25"/>
      <c r="H15" s="25"/>
    </row>
    <row r="16" spans="2:8" x14ac:dyDescent="0.35">
      <c r="B16" s="25"/>
      <c r="C16" s="25"/>
      <c r="D16" s="25"/>
      <c r="E16" s="25"/>
      <c r="F16" s="25"/>
      <c r="G16" s="25"/>
      <c r="H16" s="25"/>
    </row>
    <row r="17" spans="2:8" x14ac:dyDescent="0.35">
      <c r="B17" s="25"/>
      <c r="C17" s="25"/>
      <c r="D17" s="25"/>
      <c r="E17" s="25"/>
      <c r="F17" s="25"/>
      <c r="G17" s="25"/>
      <c r="H17" s="25"/>
    </row>
    <row r="18" spans="2:8" x14ac:dyDescent="0.35">
      <c r="B18" s="25"/>
      <c r="C18" s="25"/>
      <c r="D18" s="25"/>
      <c r="E18" s="25"/>
      <c r="F18" s="25"/>
      <c r="G18" s="25"/>
      <c r="H18" s="25"/>
    </row>
    <row r="19" spans="2:8" x14ac:dyDescent="0.35">
      <c r="B19" s="25"/>
      <c r="C19" s="25"/>
      <c r="D19" s="25"/>
      <c r="E19" s="25"/>
      <c r="F19" s="25"/>
      <c r="G19" s="25"/>
      <c r="H19" s="25"/>
    </row>
    <row r="20" spans="2:8" x14ac:dyDescent="0.35">
      <c r="B20" s="25"/>
      <c r="C20" s="25"/>
      <c r="D20" s="25"/>
      <c r="E20" s="25"/>
      <c r="F20" s="25"/>
      <c r="G20" s="25"/>
      <c r="H20" s="25"/>
    </row>
    <row r="21" spans="2:8" x14ac:dyDescent="0.35">
      <c r="B21" s="25"/>
      <c r="C21" s="25"/>
      <c r="D21" s="25"/>
      <c r="E21" s="25"/>
      <c r="F21" s="25"/>
      <c r="G21" s="25"/>
      <c r="H21" s="25"/>
    </row>
    <row r="22" spans="2:8" x14ac:dyDescent="0.35">
      <c r="B22" s="25"/>
      <c r="C22" s="25"/>
      <c r="D22" s="25"/>
      <c r="E22" s="25"/>
      <c r="F22" s="25"/>
      <c r="G22" s="25"/>
      <c r="H22" s="25"/>
    </row>
    <row r="23" spans="2:8" x14ac:dyDescent="0.35">
      <c r="B23" s="25"/>
      <c r="C23" s="25"/>
      <c r="D23" s="25"/>
      <c r="E23" s="25"/>
      <c r="F23" s="25"/>
      <c r="G23" s="25"/>
      <c r="H23" s="25"/>
    </row>
    <row r="24" spans="2:8" x14ac:dyDescent="0.35">
      <c r="B24" s="25"/>
      <c r="C24" s="25"/>
      <c r="D24" s="25"/>
      <c r="E24" s="25"/>
      <c r="F24" s="25"/>
      <c r="G24" s="25"/>
      <c r="H24" s="25"/>
    </row>
    <row r="25" spans="2:8" x14ac:dyDescent="0.35">
      <c r="B25" s="25"/>
      <c r="C25" s="25"/>
      <c r="D25" s="25"/>
      <c r="E25" s="25"/>
      <c r="F25" s="25"/>
      <c r="G25" s="25"/>
      <c r="H25" s="25"/>
    </row>
  </sheetData>
  <mergeCells count="1">
    <mergeCell ref="B13:H25"/>
  </mergeCells>
  <pageMargins left="0.75" right="0.75" top="1" bottom="1" header="0.5" footer="0.5"/>
  <headerFooter>
    <oddFooter>&amp;C_x000D_&amp;1#&amp;"Aptos"&amp;10&amp;K008000 Ejada Public Information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D25"/>
  <sheetViews>
    <sheetView showGridLines="0" workbookViewId="0"/>
  </sheetViews>
  <sheetFormatPr defaultRowHeight="14.5" x14ac:dyDescent="0.35"/>
  <cols>
    <col min="1" max="1" width="2" customWidth="1"/>
    <col min="2" max="2" width="32" customWidth="1"/>
    <col min="3" max="3" width="14" customWidth="1"/>
    <col min="4" max="4" width="42" customWidth="1"/>
  </cols>
  <sheetData>
    <row r="2" spans="1:4" ht="18" x14ac:dyDescent="0.4">
      <c r="B2" s="5" t="s">
        <v>16</v>
      </c>
    </row>
    <row r="4" spans="1:4" x14ac:dyDescent="0.35">
      <c r="A4" s="6"/>
      <c r="B4" s="6" t="s">
        <v>17</v>
      </c>
      <c r="C4" s="6" t="s">
        <v>18</v>
      </c>
      <c r="D4" s="6" t="s">
        <v>19</v>
      </c>
    </row>
    <row r="5" spans="1:4" x14ac:dyDescent="0.35">
      <c r="A5" s="7"/>
      <c r="B5" s="8" t="s">
        <v>20</v>
      </c>
      <c r="C5" s="7">
        <v>4</v>
      </c>
      <c r="D5" s="7" t="s">
        <v>21</v>
      </c>
    </row>
    <row r="6" spans="1:4" x14ac:dyDescent="0.35">
      <c r="A6" s="7"/>
      <c r="B6" s="9" t="s">
        <v>22</v>
      </c>
      <c r="C6" s="7">
        <v>10</v>
      </c>
      <c r="D6" s="7" t="s">
        <v>23</v>
      </c>
    </row>
    <row r="7" spans="1:4" x14ac:dyDescent="0.35">
      <c r="A7" s="7"/>
      <c r="B7" s="10" t="s">
        <v>24</v>
      </c>
      <c r="C7" s="7">
        <v>19</v>
      </c>
      <c r="D7" s="7" t="s">
        <v>25</v>
      </c>
    </row>
    <row r="8" spans="1:4" x14ac:dyDescent="0.35">
      <c r="A8" s="7"/>
      <c r="B8" s="11" t="s">
        <v>26</v>
      </c>
      <c r="C8" s="7">
        <v>11</v>
      </c>
      <c r="D8" s="7" t="s">
        <v>27</v>
      </c>
    </row>
    <row r="9" spans="1:4" x14ac:dyDescent="0.35">
      <c r="A9" s="7"/>
      <c r="B9" s="12" t="s">
        <v>28</v>
      </c>
      <c r="C9" s="7">
        <v>1</v>
      </c>
      <c r="D9" s="7" t="s">
        <v>29</v>
      </c>
    </row>
    <row r="10" spans="1:4" x14ac:dyDescent="0.35">
      <c r="A10" s="7"/>
      <c r="B10" s="13" t="s">
        <v>30</v>
      </c>
      <c r="C10" s="13">
        <f>SUM(C5:C9)</f>
        <v>45</v>
      </c>
      <c r="D10" s="7"/>
    </row>
    <row r="12" spans="1:4" ht="18" x14ac:dyDescent="0.4">
      <c r="B12" s="5" t="s">
        <v>31</v>
      </c>
    </row>
    <row r="14" spans="1:4" x14ac:dyDescent="0.35">
      <c r="A14" s="6"/>
      <c r="B14" s="6" t="s">
        <v>32</v>
      </c>
      <c r="C14" s="6" t="s">
        <v>18</v>
      </c>
    </row>
    <row r="15" spans="1:4" x14ac:dyDescent="0.35">
      <c r="A15" s="7"/>
      <c r="B15" s="7" t="s">
        <v>33</v>
      </c>
      <c r="C15" s="7">
        <v>8</v>
      </c>
    </row>
    <row r="16" spans="1:4" x14ac:dyDescent="0.35">
      <c r="A16" s="7"/>
      <c r="B16" s="7" t="s">
        <v>34</v>
      </c>
      <c r="C16" s="7">
        <v>2</v>
      </c>
    </row>
    <row r="17" spans="1:3" x14ac:dyDescent="0.35">
      <c r="A17" s="7"/>
      <c r="B17" s="7" t="s">
        <v>35</v>
      </c>
      <c r="C17" s="7">
        <v>4</v>
      </c>
    </row>
    <row r="18" spans="1:3" x14ac:dyDescent="0.35">
      <c r="A18" s="7"/>
      <c r="B18" s="7" t="s">
        <v>36</v>
      </c>
      <c r="C18" s="7">
        <v>4</v>
      </c>
    </row>
    <row r="19" spans="1:3" x14ac:dyDescent="0.35">
      <c r="A19" s="7"/>
      <c r="B19" s="7" t="s">
        <v>37</v>
      </c>
      <c r="C19" s="7">
        <v>4</v>
      </c>
    </row>
    <row r="20" spans="1:3" x14ac:dyDescent="0.35">
      <c r="A20" s="7"/>
      <c r="B20" s="7" t="s">
        <v>38</v>
      </c>
      <c r="C20" s="7">
        <v>7</v>
      </c>
    </row>
    <row r="21" spans="1:3" x14ac:dyDescent="0.35">
      <c r="A21" s="7"/>
      <c r="B21" s="7" t="s">
        <v>39</v>
      </c>
      <c r="C21" s="7">
        <v>2</v>
      </c>
    </row>
    <row r="22" spans="1:3" x14ac:dyDescent="0.35">
      <c r="A22" s="7"/>
      <c r="B22" s="7" t="s">
        <v>40</v>
      </c>
      <c r="C22" s="7">
        <v>9</v>
      </c>
    </row>
    <row r="23" spans="1:3" x14ac:dyDescent="0.35">
      <c r="A23" s="7"/>
      <c r="B23" s="7" t="s">
        <v>41</v>
      </c>
      <c r="C23" s="7">
        <v>3</v>
      </c>
    </row>
    <row r="24" spans="1:3" x14ac:dyDescent="0.35">
      <c r="A24" s="7"/>
      <c r="B24" s="7" t="s">
        <v>42</v>
      </c>
      <c r="C24" s="7">
        <v>2</v>
      </c>
    </row>
    <row r="25" spans="1:3" x14ac:dyDescent="0.35">
      <c r="A25" s="7"/>
      <c r="B25" s="13" t="s">
        <v>30</v>
      </c>
      <c r="C25" s="13">
        <f>SUM(C15:C24)</f>
        <v>45</v>
      </c>
    </row>
  </sheetData>
  <pageMargins left="0.75" right="0.75" top="1" bottom="1" header="0.5" footer="0.5"/>
  <headerFooter>
    <oddFooter>&amp;C_x000D_&amp;1#&amp;"Aptos"&amp;10&amp;K008000 Ejada Public Information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6"/>
  <sheetViews>
    <sheetView topLeftCell="G1" workbookViewId="0">
      <pane ySplit="1" topLeftCell="A2" activePane="bottomLeft" state="frozen"/>
      <selection pane="bottomLeft" activeCell="J6" sqref="J6"/>
    </sheetView>
  </sheetViews>
  <sheetFormatPr defaultRowHeight="14.5" x14ac:dyDescent="0.35"/>
  <cols>
    <col min="1" max="1" width="8" customWidth="1"/>
    <col min="2" max="2" width="11" customWidth="1"/>
    <col min="3" max="3" width="20" customWidth="1"/>
    <col min="4" max="4" width="18" customWidth="1"/>
    <col min="5" max="5" width="38" customWidth="1"/>
    <col min="6" max="6" width="55" customWidth="1"/>
    <col min="7" max="8" width="40" customWidth="1"/>
    <col min="9" max="9" width="38" customWidth="1"/>
    <col min="10" max="10" width="50" customWidth="1"/>
    <col min="11" max="11" width="12" customWidth="1"/>
  </cols>
  <sheetData>
    <row r="1" spans="1:11" ht="32" customHeight="1" x14ac:dyDescent="0.35">
      <c r="A1" s="6" t="s">
        <v>43</v>
      </c>
      <c r="B1" s="6" t="s">
        <v>17</v>
      </c>
      <c r="C1" s="6" t="s">
        <v>32</v>
      </c>
      <c r="D1" s="6" t="s">
        <v>44</v>
      </c>
      <c r="E1" s="6" t="s">
        <v>45</v>
      </c>
      <c r="F1" s="6" t="s">
        <v>46</v>
      </c>
      <c r="G1" s="6" t="s">
        <v>47</v>
      </c>
      <c r="H1" s="6" t="s">
        <v>48</v>
      </c>
      <c r="I1" s="6" t="s">
        <v>49</v>
      </c>
      <c r="J1" s="6" t="s">
        <v>50</v>
      </c>
      <c r="K1" s="6" t="s">
        <v>51</v>
      </c>
    </row>
    <row r="2" spans="1:11" ht="95" customHeight="1" x14ac:dyDescent="0.35">
      <c r="A2" s="7" t="s">
        <v>52</v>
      </c>
      <c r="B2" s="14" t="s">
        <v>20</v>
      </c>
      <c r="C2" s="7" t="s">
        <v>34</v>
      </c>
      <c r="D2" s="7" t="s">
        <v>53</v>
      </c>
      <c r="E2" s="7" t="s">
        <v>54</v>
      </c>
      <c r="F2" s="7" t="s">
        <v>55</v>
      </c>
      <c r="G2" s="7" t="s">
        <v>56</v>
      </c>
      <c r="H2" s="7" t="s">
        <v>57</v>
      </c>
      <c r="I2" s="7" t="s">
        <v>58</v>
      </c>
      <c r="J2" s="7" t="s">
        <v>59</v>
      </c>
      <c r="K2" s="15" t="s">
        <v>457</v>
      </c>
    </row>
    <row r="3" spans="1:11" ht="95" customHeight="1" x14ac:dyDescent="0.35">
      <c r="A3" s="7" t="s">
        <v>61</v>
      </c>
      <c r="B3" s="14" t="s">
        <v>20</v>
      </c>
      <c r="C3" s="7" t="s">
        <v>35</v>
      </c>
      <c r="D3" s="7" t="s">
        <v>53</v>
      </c>
      <c r="E3" s="7" t="s">
        <v>62</v>
      </c>
      <c r="F3" s="7" t="s">
        <v>63</v>
      </c>
      <c r="G3" s="7" t="s">
        <v>64</v>
      </c>
      <c r="H3" s="7" t="s">
        <v>65</v>
      </c>
      <c r="I3" s="7" t="s">
        <v>66</v>
      </c>
      <c r="J3" s="7" t="s">
        <v>67</v>
      </c>
      <c r="K3" s="15" t="s">
        <v>60</v>
      </c>
    </row>
    <row r="4" spans="1:11" ht="95" customHeight="1" x14ac:dyDescent="0.35">
      <c r="A4" s="7" t="s">
        <v>68</v>
      </c>
      <c r="B4" s="14" t="s">
        <v>20</v>
      </c>
      <c r="C4" s="7" t="s">
        <v>37</v>
      </c>
      <c r="D4" s="7" t="s">
        <v>69</v>
      </c>
      <c r="E4" s="7" t="s">
        <v>70</v>
      </c>
      <c r="F4" s="7" t="s">
        <v>71</v>
      </c>
      <c r="G4" s="7" t="s">
        <v>72</v>
      </c>
      <c r="H4" s="7" t="s">
        <v>73</v>
      </c>
      <c r="I4" s="7" t="s">
        <v>74</v>
      </c>
      <c r="J4" s="7" t="s">
        <v>75</v>
      </c>
      <c r="K4" s="15" t="s">
        <v>457</v>
      </c>
    </row>
    <row r="5" spans="1:11" ht="95" customHeight="1" x14ac:dyDescent="0.35">
      <c r="A5" s="7" t="s">
        <v>76</v>
      </c>
      <c r="B5" s="14" t="s">
        <v>20</v>
      </c>
      <c r="C5" s="7" t="s">
        <v>34</v>
      </c>
      <c r="D5" s="7" t="s">
        <v>77</v>
      </c>
      <c r="E5" s="7" t="s">
        <v>78</v>
      </c>
      <c r="F5" s="7" t="s">
        <v>79</v>
      </c>
      <c r="G5" s="7" t="s">
        <v>80</v>
      </c>
      <c r="H5" s="7" t="s">
        <v>81</v>
      </c>
      <c r="I5" s="7" t="s">
        <v>82</v>
      </c>
      <c r="J5" s="7" t="s">
        <v>83</v>
      </c>
      <c r="K5" s="15" t="s">
        <v>457</v>
      </c>
    </row>
    <row r="6" spans="1:11" ht="95" customHeight="1" x14ac:dyDescent="0.35">
      <c r="A6" s="7" t="s">
        <v>84</v>
      </c>
      <c r="B6" s="16" t="s">
        <v>22</v>
      </c>
      <c r="C6" s="7" t="s">
        <v>36</v>
      </c>
      <c r="D6" s="7" t="s">
        <v>53</v>
      </c>
      <c r="E6" s="7" t="s">
        <v>85</v>
      </c>
      <c r="F6" s="7" t="s">
        <v>86</v>
      </c>
      <c r="G6" s="7" t="s">
        <v>87</v>
      </c>
      <c r="H6" s="7" t="s">
        <v>88</v>
      </c>
      <c r="I6" s="7" t="s">
        <v>89</v>
      </c>
      <c r="J6" s="7" t="s">
        <v>90</v>
      </c>
      <c r="K6" s="15" t="s">
        <v>457</v>
      </c>
    </row>
    <row r="7" spans="1:11" ht="95" customHeight="1" x14ac:dyDescent="0.35">
      <c r="A7" s="7" t="s">
        <v>91</v>
      </c>
      <c r="B7" s="16" t="s">
        <v>22</v>
      </c>
      <c r="C7" s="7" t="s">
        <v>39</v>
      </c>
      <c r="D7" s="7" t="s">
        <v>92</v>
      </c>
      <c r="E7" s="7" t="s">
        <v>93</v>
      </c>
      <c r="F7" s="7" t="s">
        <v>94</v>
      </c>
      <c r="G7" s="7" t="s">
        <v>95</v>
      </c>
      <c r="H7" s="7" t="s">
        <v>96</v>
      </c>
      <c r="I7" s="7" t="s">
        <v>97</v>
      </c>
      <c r="J7" s="7" t="s">
        <v>98</v>
      </c>
      <c r="K7" s="15" t="s">
        <v>60</v>
      </c>
    </row>
    <row r="8" spans="1:11" ht="95" customHeight="1" x14ac:dyDescent="0.35">
      <c r="A8" s="7" t="s">
        <v>99</v>
      </c>
      <c r="B8" s="16" t="s">
        <v>22</v>
      </c>
      <c r="C8" s="7" t="s">
        <v>33</v>
      </c>
      <c r="D8" s="7" t="s">
        <v>92</v>
      </c>
      <c r="E8" s="7" t="s">
        <v>100</v>
      </c>
      <c r="F8" s="7" t="s">
        <v>101</v>
      </c>
      <c r="G8" s="7" t="s">
        <v>102</v>
      </c>
      <c r="H8" s="7" t="s">
        <v>103</v>
      </c>
      <c r="I8" s="7" t="s">
        <v>104</v>
      </c>
      <c r="J8" s="7" t="s">
        <v>105</v>
      </c>
      <c r="K8" s="15" t="s">
        <v>457</v>
      </c>
    </row>
    <row r="9" spans="1:11" ht="95" customHeight="1" x14ac:dyDescent="0.35">
      <c r="A9" s="7" t="s">
        <v>106</v>
      </c>
      <c r="B9" s="16" t="s">
        <v>22</v>
      </c>
      <c r="C9" s="7" t="s">
        <v>37</v>
      </c>
      <c r="D9" s="7" t="s">
        <v>92</v>
      </c>
      <c r="E9" s="7" t="s">
        <v>107</v>
      </c>
      <c r="F9" s="7" t="s">
        <v>108</v>
      </c>
      <c r="G9" s="7" t="s">
        <v>109</v>
      </c>
      <c r="H9" s="7" t="s">
        <v>110</v>
      </c>
      <c r="I9" s="7" t="s">
        <v>111</v>
      </c>
      <c r="J9" s="7" t="s">
        <v>112</v>
      </c>
      <c r="K9" s="15" t="s">
        <v>60</v>
      </c>
    </row>
    <row r="10" spans="1:11" ht="95" customHeight="1" x14ac:dyDescent="0.35">
      <c r="A10" s="7" t="s">
        <v>113</v>
      </c>
      <c r="B10" s="16" t="s">
        <v>22</v>
      </c>
      <c r="C10" s="7" t="s">
        <v>38</v>
      </c>
      <c r="D10" s="7" t="s">
        <v>92</v>
      </c>
      <c r="E10" s="7" t="s">
        <v>114</v>
      </c>
      <c r="F10" s="7" t="s">
        <v>115</v>
      </c>
      <c r="G10" s="7" t="s">
        <v>116</v>
      </c>
      <c r="H10" s="7" t="s">
        <v>117</v>
      </c>
      <c r="I10" s="7" t="s">
        <v>118</v>
      </c>
      <c r="J10" s="7" t="s">
        <v>119</v>
      </c>
      <c r="K10" s="15" t="s">
        <v>457</v>
      </c>
    </row>
    <row r="11" spans="1:11" ht="95" customHeight="1" x14ac:dyDescent="0.35">
      <c r="A11" s="7" t="s">
        <v>120</v>
      </c>
      <c r="B11" s="16" t="s">
        <v>22</v>
      </c>
      <c r="C11" s="7" t="s">
        <v>33</v>
      </c>
      <c r="D11" s="7" t="s">
        <v>92</v>
      </c>
      <c r="E11" s="7" t="s">
        <v>121</v>
      </c>
      <c r="F11" s="7" t="s">
        <v>122</v>
      </c>
      <c r="G11" s="7" t="s">
        <v>123</v>
      </c>
      <c r="H11" s="7" t="s">
        <v>124</v>
      </c>
      <c r="I11" s="7" t="s">
        <v>125</v>
      </c>
      <c r="J11" s="7" t="s">
        <v>126</v>
      </c>
      <c r="K11" s="15" t="s">
        <v>60</v>
      </c>
    </row>
    <row r="12" spans="1:11" ht="95" customHeight="1" x14ac:dyDescent="0.35">
      <c r="A12" s="7" t="s">
        <v>127</v>
      </c>
      <c r="B12" s="16" t="s">
        <v>22</v>
      </c>
      <c r="C12" s="7" t="s">
        <v>39</v>
      </c>
      <c r="D12" s="7" t="s">
        <v>92</v>
      </c>
      <c r="E12" s="7" t="s">
        <v>128</v>
      </c>
      <c r="F12" s="7" t="s">
        <v>129</v>
      </c>
      <c r="G12" s="7" t="s">
        <v>130</v>
      </c>
      <c r="H12" s="7" t="s">
        <v>131</v>
      </c>
      <c r="I12" s="7" t="s">
        <v>132</v>
      </c>
      <c r="J12" s="7" t="s">
        <v>133</v>
      </c>
      <c r="K12" s="15" t="s">
        <v>60</v>
      </c>
    </row>
    <row r="13" spans="1:11" ht="95" customHeight="1" x14ac:dyDescent="0.35">
      <c r="A13" s="7" t="s">
        <v>134</v>
      </c>
      <c r="B13" s="16" t="s">
        <v>22</v>
      </c>
      <c r="C13" s="7" t="s">
        <v>35</v>
      </c>
      <c r="D13" s="7" t="s">
        <v>135</v>
      </c>
      <c r="E13" s="7" t="s">
        <v>136</v>
      </c>
      <c r="F13" s="7" t="s">
        <v>137</v>
      </c>
      <c r="G13" s="7" t="s">
        <v>138</v>
      </c>
      <c r="H13" s="7" t="s">
        <v>139</v>
      </c>
      <c r="I13" s="7" t="s">
        <v>140</v>
      </c>
      <c r="J13" s="7" t="s">
        <v>458</v>
      </c>
      <c r="K13" s="15" t="s">
        <v>60</v>
      </c>
    </row>
    <row r="14" spans="1:11" ht="95" customHeight="1" x14ac:dyDescent="0.35">
      <c r="A14" s="7" t="s">
        <v>141</v>
      </c>
      <c r="B14" s="16" t="s">
        <v>22</v>
      </c>
      <c r="C14" s="7" t="s">
        <v>33</v>
      </c>
      <c r="D14" s="7" t="s">
        <v>92</v>
      </c>
      <c r="E14" s="7" t="s">
        <v>142</v>
      </c>
      <c r="F14" s="7" t="s">
        <v>143</v>
      </c>
      <c r="G14" s="7" t="s">
        <v>144</v>
      </c>
      <c r="H14" s="7" t="s">
        <v>145</v>
      </c>
      <c r="I14" s="7" t="s">
        <v>146</v>
      </c>
      <c r="J14" s="7" t="s">
        <v>147</v>
      </c>
      <c r="K14" s="15" t="s">
        <v>60</v>
      </c>
    </row>
    <row r="15" spans="1:11" ht="95" customHeight="1" x14ac:dyDescent="0.35">
      <c r="A15" s="7" t="s">
        <v>148</v>
      </c>
      <c r="B15" s="16" t="s">
        <v>22</v>
      </c>
      <c r="C15" s="7" t="s">
        <v>35</v>
      </c>
      <c r="D15" s="7" t="s">
        <v>149</v>
      </c>
      <c r="E15" s="7" t="s">
        <v>150</v>
      </c>
      <c r="F15" s="7" t="s">
        <v>151</v>
      </c>
      <c r="G15" s="7" t="s">
        <v>152</v>
      </c>
      <c r="H15" s="7" t="s">
        <v>153</v>
      </c>
      <c r="I15" s="7" t="s">
        <v>154</v>
      </c>
      <c r="J15" s="7" t="s">
        <v>155</v>
      </c>
      <c r="K15" s="15" t="s">
        <v>60</v>
      </c>
    </row>
    <row r="16" spans="1:11" ht="95" customHeight="1" x14ac:dyDescent="0.35">
      <c r="A16" s="7" t="s">
        <v>156</v>
      </c>
      <c r="B16" s="17" t="s">
        <v>24</v>
      </c>
      <c r="C16" s="7" t="s">
        <v>38</v>
      </c>
      <c r="D16" s="7" t="s">
        <v>92</v>
      </c>
      <c r="E16" s="7" t="s">
        <v>157</v>
      </c>
      <c r="F16" s="7" t="s">
        <v>158</v>
      </c>
      <c r="G16" s="7" t="s">
        <v>159</v>
      </c>
      <c r="H16" s="7" t="s">
        <v>160</v>
      </c>
      <c r="I16" s="7" t="s">
        <v>161</v>
      </c>
      <c r="J16" s="7" t="s">
        <v>162</v>
      </c>
      <c r="K16" s="15" t="s">
        <v>60</v>
      </c>
    </row>
    <row r="17" spans="1:11" ht="95" customHeight="1" x14ac:dyDescent="0.35">
      <c r="A17" s="7" t="s">
        <v>163</v>
      </c>
      <c r="B17" s="17" t="s">
        <v>24</v>
      </c>
      <c r="C17" s="7" t="s">
        <v>38</v>
      </c>
      <c r="D17" s="7" t="s">
        <v>92</v>
      </c>
      <c r="E17" s="7" t="s">
        <v>164</v>
      </c>
      <c r="F17" s="7" t="s">
        <v>165</v>
      </c>
      <c r="G17" s="7" t="s">
        <v>166</v>
      </c>
      <c r="H17" s="7" t="s">
        <v>167</v>
      </c>
      <c r="I17" s="7" t="s">
        <v>168</v>
      </c>
      <c r="J17" s="7" t="s">
        <v>169</v>
      </c>
      <c r="K17" s="15" t="s">
        <v>457</v>
      </c>
    </row>
    <row r="18" spans="1:11" ht="95" customHeight="1" x14ac:dyDescent="0.35">
      <c r="A18" s="7" t="s">
        <v>170</v>
      </c>
      <c r="B18" s="17" t="s">
        <v>24</v>
      </c>
      <c r="C18" s="7" t="s">
        <v>38</v>
      </c>
      <c r="D18" s="7" t="s">
        <v>92</v>
      </c>
      <c r="E18" s="7" t="s">
        <v>171</v>
      </c>
      <c r="F18" s="7" t="s">
        <v>172</v>
      </c>
      <c r="G18" s="7" t="s">
        <v>173</v>
      </c>
      <c r="H18" s="7" t="s">
        <v>174</v>
      </c>
      <c r="I18" s="7" t="s">
        <v>175</v>
      </c>
      <c r="J18" s="7" t="s">
        <v>176</v>
      </c>
      <c r="K18" s="15" t="s">
        <v>60</v>
      </c>
    </row>
    <row r="19" spans="1:11" ht="95" customHeight="1" x14ac:dyDescent="0.35">
      <c r="A19" s="7" t="s">
        <v>177</v>
      </c>
      <c r="B19" s="17" t="s">
        <v>24</v>
      </c>
      <c r="C19" s="7" t="s">
        <v>33</v>
      </c>
      <c r="D19" s="7" t="s">
        <v>92</v>
      </c>
      <c r="E19" s="7" t="s">
        <v>178</v>
      </c>
      <c r="F19" s="7" t="s">
        <v>179</v>
      </c>
      <c r="G19" s="7" t="s">
        <v>180</v>
      </c>
      <c r="H19" s="7" t="s">
        <v>181</v>
      </c>
      <c r="I19" s="7" t="s">
        <v>182</v>
      </c>
      <c r="J19" s="7" t="s">
        <v>183</v>
      </c>
      <c r="K19" s="15" t="s">
        <v>60</v>
      </c>
    </row>
    <row r="20" spans="1:11" ht="95" customHeight="1" x14ac:dyDescent="0.35">
      <c r="A20" s="7" t="s">
        <v>184</v>
      </c>
      <c r="B20" s="17" t="s">
        <v>24</v>
      </c>
      <c r="C20" s="7" t="s">
        <v>42</v>
      </c>
      <c r="D20" s="7" t="s">
        <v>92</v>
      </c>
      <c r="E20" s="7" t="s">
        <v>185</v>
      </c>
      <c r="F20" s="7" t="s">
        <v>186</v>
      </c>
      <c r="G20" s="7" t="s">
        <v>187</v>
      </c>
      <c r="H20" s="7" t="s">
        <v>188</v>
      </c>
      <c r="I20" s="7" t="s">
        <v>168</v>
      </c>
      <c r="J20" s="7" t="s">
        <v>189</v>
      </c>
      <c r="K20" s="15" t="s">
        <v>60</v>
      </c>
    </row>
    <row r="21" spans="1:11" ht="95" customHeight="1" x14ac:dyDescent="0.35">
      <c r="A21" s="7" t="s">
        <v>190</v>
      </c>
      <c r="B21" s="17" t="s">
        <v>24</v>
      </c>
      <c r="C21" s="7" t="s">
        <v>36</v>
      </c>
      <c r="D21" s="7" t="s">
        <v>53</v>
      </c>
      <c r="E21" s="7" t="s">
        <v>191</v>
      </c>
      <c r="F21" s="7" t="s">
        <v>192</v>
      </c>
      <c r="G21" s="7" t="s">
        <v>193</v>
      </c>
      <c r="H21" s="7" t="s">
        <v>194</v>
      </c>
      <c r="I21" s="7" t="s">
        <v>195</v>
      </c>
      <c r="J21" s="7" t="s">
        <v>196</v>
      </c>
      <c r="K21" s="15" t="s">
        <v>457</v>
      </c>
    </row>
    <row r="22" spans="1:11" ht="95" customHeight="1" x14ac:dyDescent="0.35">
      <c r="A22" s="7" t="s">
        <v>197</v>
      </c>
      <c r="B22" s="17" t="s">
        <v>24</v>
      </c>
      <c r="C22" s="7" t="s">
        <v>36</v>
      </c>
      <c r="D22" s="7" t="s">
        <v>53</v>
      </c>
      <c r="E22" s="7" t="s">
        <v>198</v>
      </c>
      <c r="F22" s="7" t="s">
        <v>199</v>
      </c>
      <c r="G22" s="7" t="s">
        <v>200</v>
      </c>
      <c r="H22" s="7" t="s">
        <v>201</v>
      </c>
      <c r="I22" s="7" t="s">
        <v>202</v>
      </c>
      <c r="J22" s="7" t="s">
        <v>203</v>
      </c>
      <c r="K22" s="15" t="s">
        <v>60</v>
      </c>
    </row>
    <row r="23" spans="1:11" ht="95" customHeight="1" x14ac:dyDescent="0.35">
      <c r="A23" s="7" t="s">
        <v>204</v>
      </c>
      <c r="B23" s="17" t="s">
        <v>24</v>
      </c>
      <c r="C23" s="7" t="s">
        <v>40</v>
      </c>
      <c r="D23" s="7" t="s">
        <v>92</v>
      </c>
      <c r="E23" s="7" t="s">
        <v>205</v>
      </c>
      <c r="F23" s="7" t="s">
        <v>206</v>
      </c>
      <c r="G23" s="7" t="s">
        <v>207</v>
      </c>
      <c r="H23" s="7" t="s">
        <v>208</v>
      </c>
      <c r="I23" s="7" t="s">
        <v>209</v>
      </c>
      <c r="J23" s="7" t="s">
        <v>210</v>
      </c>
      <c r="K23" s="15" t="s">
        <v>60</v>
      </c>
    </row>
    <row r="24" spans="1:11" ht="95" customHeight="1" x14ac:dyDescent="0.35">
      <c r="A24" s="7" t="s">
        <v>211</v>
      </c>
      <c r="B24" s="17" t="s">
        <v>24</v>
      </c>
      <c r="C24" s="7" t="s">
        <v>40</v>
      </c>
      <c r="D24" s="7" t="s">
        <v>92</v>
      </c>
      <c r="E24" s="7" t="s">
        <v>212</v>
      </c>
      <c r="F24" s="7" t="s">
        <v>213</v>
      </c>
      <c r="G24" s="7" t="s">
        <v>214</v>
      </c>
      <c r="H24" s="7" t="s">
        <v>215</v>
      </c>
      <c r="I24" s="7" t="s">
        <v>216</v>
      </c>
      <c r="J24" s="7" t="s">
        <v>217</v>
      </c>
      <c r="K24" s="15" t="s">
        <v>60</v>
      </c>
    </row>
    <row r="25" spans="1:11" ht="95" customHeight="1" x14ac:dyDescent="0.35">
      <c r="A25" s="7" t="s">
        <v>218</v>
      </c>
      <c r="B25" s="17" t="s">
        <v>24</v>
      </c>
      <c r="C25" s="7" t="s">
        <v>33</v>
      </c>
      <c r="D25" s="7" t="s">
        <v>92</v>
      </c>
      <c r="E25" s="7" t="s">
        <v>219</v>
      </c>
      <c r="F25" s="7" t="s">
        <v>220</v>
      </c>
      <c r="G25" s="7" t="s">
        <v>221</v>
      </c>
      <c r="H25" s="7" t="s">
        <v>222</v>
      </c>
      <c r="I25" s="7" t="s">
        <v>223</v>
      </c>
      <c r="J25" s="7" t="s">
        <v>224</v>
      </c>
      <c r="K25" s="15" t="s">
        <v>60</v>
      </c>
    </row>
    <row r="26" spans="1:11" ht="95" customHeight="1" x14ac:dyDescent="0.35">
      <c r="A26" s="7" t="s">
        <v>225</v>
      </c>
      <c r="B26" s="17" t="s">
        <v>24</v>
      </c>
      <c r="C26" s="7" t="s">
        <v>35</v>
      </c>
      <c r="D26" s="7" t="s">
        <v>77</v>
      </c>
      <c r="E26" s="7" t="s">
        <v>226</v>
      </c>
      <c r="F26" s="7" t="s">
        <v>227</v>
      </c>
      <c r="G26" s="7" t="s">
        <v>228</v>
      </c>
      <c r="H26" s="7" t="s">
        <v>229</v>
      </c>
      <c r="I26" s="7" t="s">
        <v>230</v>
      </c>
      <c r="J26" s="7" t="s">
        <v>231</v>
      </c>
      <c r="K26" s="15" t="s">
        <v>60</v>
      </c>
    </row>
    <row r="27" spans="1:11" ht="95" customHeight="1" x14ac:dyDescent="0.35">
      <c r="A27" s="7" t="s">
        <v>232</v>
      </c>
      <c r="B27" s="17" t="s">
        <v>24</v>
      </c>
      <c r="C27" s="7" t="s">
        <v>38</v>
      </c>
      <c r="D27" s="7" t="s">
        <v>92</v>
      </c>
      <c r="E27" s="7" t="s">
        <v>233</v>
      </c>
      <c r="F27" s="7" t="s">
        <v>234</v>
      </c>
      <c r="G27" s="7" t="s">
        <v>235</v>
      </c>
      <c r="H27" s="7" t="s">
        <v>236</v>
      </c>
      <c r="I27" s="7" t="s">
        <v>237</v>
      </c>
      <c r="J27" s="7" t="s">
        <v>238</v>
      </c>
      <c r="K27" s="15" t="s">
        <v>60</v>
      </c>
    </row>
    <row r="28" spans="1:11" ht="95" customHeight="1" x14ac:dyDescent="0.35">
      <c r="A28" s="7" t="s">
        <v>239</v>
      </c>
      <c r="B28" s="17" t="s">
        <v>24</v>
      </c>
      <c r="C28" s="7" t="s">
        <v>36</v>
      </c>
      <c r="D28" s="7" t="s">
        <v>92</v>
      </c>
      <c r="E28" s="7" t="s">
        <v>240</v>
      </c>
      <c r="F28" s="7" t="s">
        <v>241</v>
      </c>
      <c r="G28" s="7" t="s">
        <v>242</v>
      </c>
      <c r="H28" s="7" t="s">
        <v>243</v>
      </c>
      <c r="I28" s="7" t="s">
        <v>244</v>
      </c>
      <c r="J28" s="7" t="s">
        <v>245</v>
      </c>
      <c r="K28" s="15" t="s">
        <v>60</v>
      </c>
    </row>
    <row r="29" spans="1:11" ht="95" customHeight="1" x14ac:dyDescent="0.35">
      <c r="A29" s="7" t="s">
        <v>246</v>
      </c>
      <c r="B29" s="17" t="s">
        <v>24</v>
      </c>
      <c r="C29" s="7" t="s">
        <v>40</v>
      </c>
      <c r="D29" s="7" t="s">
        <v>247</v>
      </c>
      <c r="E29" s="7" t="s">
        <v>248</v>
      </c>
      <c r="F29" s="7" t="s">
        <v>249</v>
      </c>
      <c r="G29" s="7" t="s">
        <v>250</v>
      </c>
      <c r="H29" s="7" t="s">
        <v>251</v>
      </c>
      <c r="I29" s="7" t="s">
        <v>252</v>
      </c>
      <c r="J29" s="7" t="s">
        <v>253</v>
      </c>
      <c r="K29" s="15" t="s">
        <v>60</v>
      </c>
    </row>
    <row r="30" spans="1:11" ht="95" customHeight="1" x14ac:dyDescent="0.35">
      <c r="A30" s="7" t="s">
        <v>254</v>
      </c>
      <c r="B30" s="17" t="s">
        <v>24</v>
      </c>
      <c r="C30" s="7" t="s">
        <v>40</v>
      </c>
      <c r="D30" s="7" t="s">
        <v>92</v>
      </c>
      <c r="E30" s="7" t="s">
        <v>255</v>
      </c>
      <c r="F30" s="7" t="s">
        <v>256</v>
      </c>
      <c r="G30" s="7" t="s">
        <v>257</v>
      </c>
      <c r="H30" s="7" t="s">
        <v>258</v>
      </c>
      <c r="I30" s="7" t="s">
        <v>259</v>
      </c>
      <c r="J30" s="7" t="s">
        <v>260</v>
      </c>
      <c r="K30" s="15" t="s">
        <v>457</v>
      </c>
    </row>
    <row r="31" spans="1:11" ht="95" customHeight="1" x14ac:dyDescent="0.35">
      <c r="A31" s="7" t="s">
        <v>261</v>
      </c>
      <c r="B31" s="17" t="s">
        <v>24</v>
      </c>
      <c r="C31" s="7" t="s">
        <v>42</v>
      </c>
      <c r="D31" s="7" t="s">
        <v>92</v>
      </c>
      <c r="E31" s="7" t="s">
        <v>262</v>
      </c>
      <c r="F31" s="7" t="s">
        <v>263</v>
      </c>
      <c r="G31" s="7" t="s">
        <v>264</v>
      </c>
      <c r="H31" s="7" t="s">
        <v>265</v>
      </c>
      <c r="I31" s="7" t="s">
        <v>266</v>
      </c>
      <c r="J31" s="7" t="s">
        <v>267</v>
      </c>
      <c r="K31" s="15" t="s">
        <v>60</v>
      </c>
    </row>
    <row r="32" spans="1:11" ht="95" customHeight="1" x14ac:dyDescent="0.35">
      <c r="A32" s="7" t="s">
        <v>268</v>
      </c>
      <c r="B32" s="17" t="s">
        <v>24</v>
      </c>
      <c r="C32" s="7" t="s">
        <v>38</v>
      </c>
      <c r="D32" s="7" t="s">
        <v>149</v>
      </c>
      <c r="E32" s="7" t="s">
        <v>269</v>
      </c>
      <c r="F32" s="7" t="s">
        <v>270</v>
      </c>
      <c r="G32" s="7" t="s">
        <v>271</v>
      </c>
      <c r="H32" s="7" t="s">
        <v>272</v>
      </c>
      <c r="I32" s="7" t="s">
        <v>273</v>
      </c>
      <c r="J32" s="7" t="s">
        <v>274</v>
      </c>
      <c r="K32" s="15" t="s">
        <v>457</v>
      </c>
    </row>
    <row r="33" spans="1:11" ht="95" customHeight="1" x14ac:dyDescent="0.35">
      <c r="A33" s="7" t="s">
        <v>275</v>
      </c>
      <c r="B33" s="17" t="s">
        <v>24</v>
      </c>
      <c r="C33" s="7" t="s">
        <v>37</v>
      </c>
      <c r="D33" s="7" t="s">
        <v>92</v>
      </c>
      <c r="E33" s="7" t="s">
        <v>276</v>
      </c>
      <c r="F33" s="7" t="s">
        <v>277</v>
      </c>
      <c r="G33" s="7" t="s">
        <v>278</v>
      </c>
      <c r="H33" s="7" t="s">
        <v>279</v>
      </c>
      <c r="I33" s="7" t="s">
        <v>280</v>
      </c>
      <c r="J33" s="7" t="s">
        <v>281</v>
      </c>
      <c r="K33" s="15" t="s">
        <v>60</v>
      </c>
    </row>
    <row r="34" spans="1:11" ht="95" customHeight="1" x14ac:dyDescent="0.35">
      <c r="A34" s="7" t="s">
        <v>282</v>
      </c>
      <c r="B34" s="17" t="s">
        <v>24</v>
      </c>
      <c r="C34" s="7" t="s">
        <v>37</v>
      </c>
      <c r="D34" s="7" t="s">
        <v>92</v>
      </c>
      <c r="E34" s="7" t="s">
        <v>283</v>
      </c>
      <c r="F34" s="7" t="s">
        <v>284</v>
      </c>
      <c r="G34" s="7" t="s">
        <v>285</v>
      </c>
      <c r="H34" s="7" t="s">
        <v>286</v>
      </c>
      <c r="I34" s="7" t="s">
        <v>287</v>
      </c>
      <c r="J34" s="7" t="s">
        <v>288</v>
      </c>
      <c r="K34" s="15" t="s">
        <v>60</v>
      </c>
    </row>
    <row r="35" spans="1:11" ht="95" customHeight="1" x14ac:dyDescent="0.35">
      <c r="A35" s="7" t="s">
        <v>289</v>
      </c>
      <c r="B35" s="18" t="s">
        <v>26</v>
      </c>
      <c r="C35" s="7" t="s">
        <v>41</v>
      </c>
      <c r="D35" s="7" t="s">
        <v>92</v>
      </c>
      <c r="E35" s="7" t="s">
        <v>290</v>
      </c>
      <c r="F35" s="7" t="s">
        <v>291</v>
      </c>
      <c r="G35" s="7" t="s">
        <v>292</v>
      </c>
      <c r="H35" s="7" t="s">
        <v>293</v>
      </c>
      <c r="I35" s="7" t="s">
        <v>294</v>
      </c>
      <c r="J35" s="7" t="s">
        <v>295</v>
      </c>
      <c r="K35" s="15" t="s">
        <v>60</v>
      </c>
    </row>
    <row r="36" spans="1:11" ht="95" customHeight="1" x14ac:dyDescent="0.35">
      <c r="A36" s="7" t="s">
        <v>296</v>
      </c>
      <c r="B36" s="18" t="s">
        <v>26</v>
      </c>
      <c r="C36" s="7" t="s">
        <v>41</v>
      </c>
      <c r="D36" s="7" t="s">
        <v>92</v>
      </c>
      <c r="E36" s="7" t="s">
        <v>297</v>
      </c>
      <c r="F36" s="7" t="s">
        <v>298</v>
      </c>
      <c r="G36" s="7" t="s">
        <v>299</v>
      </c>
      <c r="H36" s="7" t="s">
        <v>300</v>
      </c>
      <c r="I36" s="7" t="s">
        <v>301</v>
      </c>
      <c r="J36" s="7" t="s">
        <v>302</v>
      </c>
      <c r="K36" s="15" t="s">
        <v>60</v>
      </c>
    </row>
    <row r="37" spans="1:11" ht="95" customHeight="1" x14ac:dyDescent="0.35">
      <c r="A37" s="7" t="s">
        <v>303</v>
      </c>
      <c r="B37" s="18" t="s">
        <v>26</v>
      </c>
      <c r="C37" s="7" t="s">
        <v>41</v>
      </c>
      <c r="D37" s="7" t="s">
        <v>92</v>
      </c>
      <c r="E37" s="7" t="s">
        <v>304</v>
      </c>
      <c r="F37" s="7" t="s">
        <v>305</v>
      </c>
      <c r="G37" s="7" t="s">
        <v>306</v>
      </c>
      <c r="H37" s="7" t="s">
        <v>307</v>
      </c>
      <c r="I37" s="7" t="s">
        <v>308</v>
      </c>
      <c r="J37" s="7" t="s">
        <v>309</v>
      </c>
      <c r="K37" s="15" t="s">
        <v>457</v>
      </c>
    </row>
    <row r="38" spans="1:11" ht="95" customHeight="1" x14ac:dyDescent="0.35">
      <c r="A38" s="7" t="s">
        <v>310</v>
      </c>
      <c r="B38" s="18" t="s">
        <v>26</v>
      </c>
      <c r="C38" s="7" t="s">
        <v>40</v>
      </c>
      <c r="D38" s="7" t="s">
        <v>92</v>
      </c>
      <c r="E38" s="7" t="s">
        <v>311</v>
      </c>
      <c r="F38" s="7" t="s">
        <v>312</v>
      </c>
      <c r="G38" s="7" t="s">
        <v>313</v>
      </c>
      <c r="H38" s="7" t="s">
        <v>314</v>
      </c>
      <c r="I38" s="7" t="s">
        <v>315</v>
      </c>
      <c r="J38" s="7" t="s">
        <v>316</v>
      </c>
      <c r="K38" s="15" t="s">
        <v>60</v>
      </c>
    </row>
    <row r="39" spans="1:11" ht="95" customHeight="1" x14ac:dyDescent="0.35">
      <c r="A39" s="7" t="s">
        <v>317</v>
      </c>
      <c r="B39" s="18" t="s">
        <v>26</v>
      </c>
      <c r="C39" s="7" t="s">
        <v>40</v>
      </c>
      <c r="D39" s="7" t="s">
        <v>92</v>
      </c>
      <c r="E39" s="7" t="s">
        <v>318</v>
      </c>
      <c r="F39" s="7" t="s">
        <v>319</v>
      </c>
      <c r="G39" s="7" t="s">
        <v>320</v>
      </c>
      <c r="H39" s="7" t="s">
        <v>321</v>
      </c>
      <c r="I39" s="7" t="s">
        <v>322</v>
      </c>
      <c r="J39" s="7" t="s">
        <v>323</v>
      </c>
      <c r="K39" s="15" t="s">
        <v>60</v>
      </c>
    </row>
    <row r="40" spans="1:11" ht="95" customHeight="1" x14ac:dyDescent="0.35">
      <c r="A40" s="7" t="s">
        <v>324</v>
      </c>
      <c r="B40" s="18" t="s">
        <v>26</v>
      </c>
      <c r="C40" s="7" t="s">
        <v>40</v>
      </c>
      <c r="D40" s="7" t="s">
        <v>92</v>
      </c>
      <c r="E40" s="7" t="s">
        <v>325</v>
      </c>
      <c r="F40" s="7" t="s">
        <v>326</v>
      </c>
      <c r="G40" s="7" t="s">
        <v>327</v>
      </c>
      <c r="H40" s="7" t="s">
        <v>328</v>
      </c>
      <c r="I40" s="7" t="s">
        <v>329</v>
      </c>
      <c r="J40" s="7" t="s">
        <v>330</v>
      </c>
      <c r="K40" s="15" t="s">
        <v>60</v>
      </c>
    </row>
    <row r="41" spans="1:11" ht="95" customHeight="1" x14ac:dyDescent="0.35">
      <c r="A41" s="7" t="s">
        <v>331</v>
      </c>
      <c r="B41" s="18" t="s">
        <v>26</v>
      </c>
      <c r="C41" s="7" t="s">
        <v>40</v>
      </c>
      <c r="D41" s="7" t="s">
        <v>92</v>
      </c>
      <c r="E41" s="7" t="s">
        <v>332</v>
      </c>
      <c r="F41" s="7" t="s">
        <v>333</v>
      </c>
      <c r="G41" s="7" t="s">
        <v>334</v>
      </c>
      <c r="H41" s="7" t="s">
        <v>335</v>
      </c>
      <c r="I41" s="7" t="s">
        <v>336</v>
      </c>
      <c r="J41" s="7" t="s">
        <v>337</v>
      </c>
      <c r="K41" s="15" t="s">
        <v>60</v>
      </c>
    </row>
    <row r="42" spans="1:11" ht="95" customHeight="1" x14ac:dyDescent="0.35">
      <c r="A42" s="7" t="s">
        <v>338</v>
      </c>
      <c r="B42" s="18" t="s">
        <v>26</v>
      </c>
      <c r="C42" s="7" t="s">
        <v>33</v>
      </c>
      <c r="D42" s="7" t="s">
        <v>92</v>
      </c>
      <c r="E42" s="7" t="s">
        <v>339</v>
      </c>
      <c r="F42" s="7" t="s">
        <v>340</v>
      </c>
      <c r="G42" s="7" t="s">
        <v>341</v>
      </c>
      <c r="H42" s="7" t="s">
        <v>342</v>
      </c>
      <c r="I42" s="7" t="s">
        <v>343</v>
      </c>
      <c r="J42" s="7" t="s">
        <v>344</v>
      </c>
      <c r="K42" s="15" t="s">
        <v>60</v>
      </c>
    </row>
    <row r="43" spans="1:11" ht="95" customHeight="1" x14ac:dyDescent="0.35">
      <c r="A43" s="7" t="s">
        <v>345</v>
      </c>
      <c r="B43" s="18" t="s">
        <v>26</v>
      </c>
      <c r="C43" s="7" t="s">
        <v>33</v>
      </c>
      <c r="D43" s="7" t="s">
        <v>92</v>
      </c>
      <c r="E43" s="7" t="s">
        <v>346</v>
      </c>
      <c r="F43" s="7" t="s">
        <v>347</v>
      </c>
      <c r="G43" s="7" t="s">
        <v>348</v>
      </c>
      <c r="H43" s="7" t="s">
        <v>349</v>
      </c>
      <c r="I43" s="7" t="s">
        <v>350</v>
      </c>
      <c r="J43" s="7" t="s">
        <v>351</v>
      </c>
      <c r="K43" s="15" t="s">
        <v>60</v>
      </c>
    </row>
    <row r="44" spans="1:11" ht="95" customHeight="1" x14ac:dyDescent="0.35">
      <c r="A44" s="7" t="s">
        <v>352</v>
      </c>
      <c r="B44" s="18" t="s">
        <v>26</v>
      </c>
      <c r="C44" s="7" t="s">
        <v>33</v>
      </c>
      <c r="D44" s="7" t="s">
        <v>92</v>
      </c>
      <c r="E44" s="7" t="s">
        <v>353</v>
      </c>
      <c r="F44" s="7" t="s">
        <v>354</v>
      </c>
      <c r="G44" s="7" t="s">
        <v>355</v>
      </c>
      <c r="H44" s="7" t="s">
        <v>356</v>
      </c>
      <c r="I44" s="7" t="s">
        <v>357</v>
      </c>
      <c r="J44" s="7" t="s">
        <v>358</v>
      </c>
      <c r="K44" s="15" t="s">
        <v>60</v>
      </c>
    </row>
    <row r="45" spans="1:11" ht="95" customHeight="1" x14ac:dyDescent="0.35">
      <c r="A45" s="7" t="s">
        <v>359</v>
      </c>
      <c r="B45" s="18" t="s">
        <v>26</v>
      </c>
      <c r="C45" s="7" t="s">
        <v>40</v>
      </c>
      <c r="D45" s="7" t="s">
        <v>92</v>
      </c>
      <c r="E45" s="7" t="s">
        <v>360</v>
      </c>
      <c r="F45" s="7" t="s">
        <v>361</v>
      </c>
      <c r="G45" s="7" t="s">
        <v>362</v>
      </c>
      <c r="H45" s="7" t="s">
        <v>363</v>
      </c>
      <c r="I45" s="7" t="s">
        <v>364</v>
      </c>
      <c r="J45" s="7" t="s">
        <v>365</v>
      </c>
      <c r="K45" s="15" t="s">
        <v>457</v>
      </c>
    </row>
    <row r="46" spans="1:11" ht="95" customHeight="1" x14ac:dyDescent="0.35">
      <c r="A46" s="7" t="s">
        <v>366</v>
      </c>
      <c r="B46" s="19" t="s">
        <v>28</v>
      </c>
      <c r="C46" s="7" t="s">
        <v>38</v>
      </c>
      <c r="D46" s="7" t="s">
        <v>92</v>
      </c>
      <c r="E46" s="7" t="s">
        <v>367</v>
      </c>
      <c r="F46" s="7" t="s">
        <v>368</v>
      </c>
      <c r="G46" s="7" t="s">
        <v>369</v>
      </c>
      <c r="H46" s="7" t="s">
        <v>370</v>
      </c>
      <c r="I46" s="7" t="s">
        <v>371</v>
      </c>
      <c r="J46" s="7" t="s">
        <v>372</v>
      </c>
      <c r="K46" s="15" t="s">
        <v>60</v>
      </c>
    </row>
  </sheetData>
  <autoFilter ref="A1:K46" xr:uid="{00000000-0009-0000-0000-000002000000}"/>
  <pageMargins left="0.75" right="0.75" top="1" bottom="1" header="0.5" footer="0.5"/>
  <headerFooter>
    <oddFooter>&amp;C_x000D_&amp;1#&amp;"Aptos"&amp;10&amp;K008000 Ejada Public Information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F8"/>
  <sheetViews>
    <sheetView showGridLines="0" workbookViewId="0"/>
  </sheetViews>
  <sheetFormatPr defaultRowHeight="14.5" x14ac:dyDescent="0.35"/>
  <cols>
    <col min="1" max="1" width="2" customWidth="1"/>
    <col min="2" max="2" width="22" customWidth="1"/>
    <col min="3" max="3" width="34" customWidth="1"/>
    <col min="4" max="4" width="70" customWidth="1"/>
    <col min="5" max="5" width="18" customWidth="1"/>
    <col min="6" max="6" width="22" customWidth="1"/>
  </cols>
  <sheetData>
    <row r="2" spans="1:6" ht="18" x14ac:dyDescent="0.4">
      <c r="B2" s="5" t="s">
        <v>373</v>
      </c>
    </row>
    <row r="4" spans="1:6" x14ac:dyDescent="0.35">
      <c r="A4" s="6"/>
      <c r="B4" s="6" t="s">
        <v>374</v>
      </c>
      <c r="C4" s="6" t="s">
        <v>375</v>
      </c>
      <c r="D4" s="6" t="s">
        <v>376</v>
      </c>
      <c r="E4" s="6" t="s">
        <v>377</v>
      </c>
      <c r="F4" s="6" t="s">
        <v>378</v>
      </c>
    </row>
    <row r="5" spans="1:6" ht="120" customHeight="1" x14ac:dyDescent="0.35">
      <c r="B5" s="13" t="s">
        <v>379</v>
      </c>
      <c r="C5" s="7" t="s">
        <v>380</v>
      </c>
      <c r="D5" s="7" t="s">
        <v>381</v>
      </c>
      <c r="E5" s="7" t="s">
        <v>382</v>
      </c>
      <c r="F5" s="7" t="s">
        <v>383</v>
      </c>
    </row>
    <row r="6" spans="1:6" ht="120" customHeight="1" x14ac:dyDescent="0.35">
      <c r="B6" s="13" t="s">
        <v>384</v>
      </c>
      <c r="C6" s="7" t="s">
        <v>385</v>
      </c>
      <c r="D6" s="7" t="s">
        <v>386</v>
      </c>
      <c r="E6" s="7" t="s">
        <v>387</v>
      </c>
      <c r="F6" s="7" t="s">
        <v>388</v>
      </c>
    </row>
    <row r="7" spans="1:6" ht="120" customHeight="1" x14ac:dyDescent="0.35">
      <c r="B7" s="13" t="s">
        <v>389</v>
      </c>
      <c r="C7" s="7" t="s">
        <v>390</v>
      </c>
      <c r="D7" s="7" t="s">
        <v>391</v>
      </c>
      <c r="E7" s="7" t="s">
        <v>387</v>
      </c>
      <c r="F7" s="7" t="s">
        <v>392</v>
      </c>
    </row>
    <row r="8" spans="1:6" ht="120" customHeight="1" x14ac:dyDescent="0.35">
      <c r="B8" s="13" t="s">
        <v>393</v>
      </c>
      <c r="C8" s="7" t="s">
        <v>394</v>
      </c>
      <c r="D8" s="7" t="s">
        <v>395</v>
      </c>
      <c r="E8" s="7" t="s">
        <v>396</v>
      </c>
      <c r="F8" s="7" t="s">
        <v>397</v>
      </c>
    </row>
  </sheetData>
  <pageMargins left="0.75" right="0.75" top="1" bottom="1" header="0.5" footer="0.5"/>
  <headerFooter>
    <oddFooter>&amp;C_x000D_&amp;1#&amp;"Aptos"&amp;10&amp;K008000 Ejada Public Information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G22"/>
  <sheetViews>
    <sheetView showGridLines="0" workbookViewId="0"/>
  </sheetViews>
  <sheetFormatPr defaultRowHeight="14.5" x14ac:dyDescent="0.35"/>
  <cols>
    <col min="1" max="1" width="2" customWidth="1"/>
    <col min="2" max="2" width="30" customWidth="1"/>
    <col min="3" max="6" width="14" customWidth="1"/>
    <col min="7" max="7" width="50" customWidth="1"/>
  </cols>
  <sheetData>
    <row r="2" spans="1:7" ht="18" x14ac:dyDescent="0.4">
      <c r="B2" s="5" t="s">
        <v>398</v>
      </c>
    </row>
    <row r="4" spans="1:7" x14ac:dyDescent="0.35">
      <c r="A4" s="6"/>
      <c r="B4" s="6" t="s">
        <v>399</v>
      </c>
      <c r="C4" s="6" t="s">
        <v>149</v>
      </c>
      <c r="D4" s="6" t="s">
        <v>77</v>
      </c>
      <c r="E4" s="6" t="s">
        <v>53</v>
      </c>
      <c r="F4" s="6" t="s">
        <v>247</v>
      </c>
      <c r="G4" s="6" t="s">
        <v>400</v>
      </c>
    </row>
    <row r="5" spans="1:7" x14ac:dyDescent="0.35">
      <c r="B5" s="7" t="s">
        <v>401</v>
      </c>
      <c r="C5" s="20" t="s">
        <v>402</v>
      </c>
      <c r="D5" s="20" t="s">
        <v>402</v>
      </c>
      <c r="E5" s="20" t="s">
        <v>402</v>
      </c>
      <c r="F5" s="20" t="s">
        <v>402</v>
      </c>
      <c r="G5" s="7" t="s">
        <v>403</v>
      </c>
    </row>
    <row r="6" spans="1:7" x14ac:dyDescent="0.35">
      <c r="B6" s="7" t="s">
        <v>404</v>
      </c>
      <c r="C6" s="20" t="s">
        <v>402</v>
      </c>
      <c r="D6" s="21" t="s">
        <v>405</v>
      </c>
      <c r="E6" s="20" t="s">
        <v>402</v>
      </c>
      <c r="F6" s="20" t="s">
        <v>402</v>
      </c>
      <c r="G6" s="7" t="s">
        <v>406</v>
      </c>
    </row>
    <row r="7" spans="1:7" x14ac:dyDescent="0.35">
      <c r="B7" s="7" t="s">
        <v>407</v>
      </c>
      <c r="C7" s="20" t="s">
        <v>402</v>
      </c>
      <c r="D7" s="20" t="s">
        <v>402</v>
      </c>
      <c r="E7" s="20" t="s">
        <v>402</v>
      </c>
      <c r="F7" s="20" t="s">
        <v>402</v>
      </c>
      <c r="G7" s="7" t="s">
        <v>408</v>
      </c>
    </row>
    <row r="8" spans="1:7" x14ac:dyDescent="0.35">
      <c r="B8" s="7" t="s">
        <v>409</v>
      </c>
      <c r="C8" s="20" t="s">
        <v>402</v>
      </c>
      <c r="D8" s="21" t="s">
        <v>405</v>
      </c>
      <c r="E8" s="20" t="s">
        <v>402</v>
      </c>
      <c r="F8" s="20" t="s">
        <v>402</v>
      </c>
      <c r="G8" s="7" t="s">
        <v>410</v>
      </c>
    </row>
    <row r="9" spans="1:7" x14ac:dyDescent="0.35">
      <c r="B9" s="7" t="s">
        <v>411</v>
      </c>
      <c r="C9" s="20" t="s">
        <v>402</v>
      </c>
      <c r="D9" s="20" t="s">
        <v>402</v>
      </c>
      <c r="E9" s="22" t="s">
        <v>412</v>
      </c>
      <c r="F9" s="23" t="s">
        <v>413</v>
      </c>
      <c r="G9" s="7" t="s">
        <v>414</v>
      </c>
    </row>
    <row r="10" spans="1:7" x14ac:dyDescent="0.35">
      <c r="B10" s="7" t="s">
        <v>415</v>
      </c>
      <c r="C10" s="20" t="s">
        <v>402</v>
      </c>
      <c r="D10" s="20" t="s">
        <v>402</v>
      </c>
      <c r="E10" s="22" t="s">
        <v>412</v>
      </c>
      <c r="F10" s="23" t="s">
        <v>413</v>
      </c>
      <c r="G10" s="7" t="s">
        <v>416</v>
      </c>
    </row>
    <row r="11" spans="1:7" x14ac:dyDescent="0.35">
      <c r="B11" s="7" t="s">
        <v>417</v>
      </c>
      <c r="C11" s="20" t="s">
        <v>402</v>
      </c>
      <c r="D11" s="23" t="s">
        <v>413</v>
      </c>
      <c r="E11" s="23" t="s">
        <v>413</v>
      </c>
      <c r="F11" s="23" t="s">
        <v>413</v>
      </c>
      <c r="G11" s="7" t="s">
        <v>418</v>
      </c>
    </row>
    <row r="12" spans="1:7" x14ac:dyDescent="0.35">
      <c r="B12" s="7" t="s">
        <v>419</v>
      </c>
      <c r="C12" s="20" t="s">
        <v>402</v>
      </c>
      <c r="D12" s="21" t="s">
        <v>405</v>
      </c>
      <c r="E12" s="23" t="s">
        <v>413</v>
      </c>
      <c r="F12" s="23" t="s">
        <v>413</v>
      </c>
      <c r="G12" s="7" t="s">
        <v>420</v>
      </c>
    </row>
    <row r="13" spans="1:7" x14ac:dyDescent="0.35">
      <c r="B13" s="7" t="s">
        <v>421</v>
      </c>
      <c r="C13" s="20" t="s">
        <v>402</v>
      </c>
      <c r="D13" s="20" t="s">
        <v>402</v>
      </c>
      <c r="E13" s="22" t="s">
        <v>412</v>
      </c>
      <c r="F13" s="23" t="s">
        <v>413</v>
      </c>
      <c r="G13" s="7" t="s">
        <v>422</v>
      </c>
    </row>
    <row r="14" spans="1:7" x14ac:dyDescent="0.35">
      <c r="B14" s="7" t="s">
        <v>423</v>
      </c>
      <c r="C14" s="20" t="s">
        <v>402</v>
      </c>
      <c r="D14" s="20" t="s">
        <v>402</v>
      </c>
      <c r="E14" s="23" t="s">
        <v>413</v>
      </c>
      <c r="F14" s="23" t="s">
        <v>413</v>
      </c>
      <c r="G14" s="7"/>
    </row>
    <row r="15" spans="1:7" x14ac:dyDescent="0.35">
      <c r="B15" s="7" t="s">
        <v>424</v>
      </c>
      <c r="C15" s="20" t="s">
        <v>402</v>
      </c>
      <c r="D15" s="23" t="s">
        <v>413</v>
      </c>
      <c r="E15" s="23" t="s">
        <v>413</v>
      </c>
      <c r="F15" s="23" t="s">
        <v>413</v>
      </c>
      <c r="G15" s="7" t="s">
        <v>425</v>
      </c>
    </row>
    <row r="16" spans="1:7" x14ac:dyDescent="0.35">
      <c r="B16" s="7" t="s">
        <v>426</v>
      </c>
      <c r="C16" s="20" t="s">
        <v>402</v>
      </c>
      <c r="D16" s="23" t="s">
        <v>413</v>
      </c>
      <c r="E16" s="23" t="s">
        <v>413</v>
      </c>
      <c r="F16" s="23" t="s">
        <v>413</v>
      </c>
      <c r="G16" s="7" t="s">
        <v>427</v>
      </c>
    </row>
    <row r="17" spans="2:7" x14ac:dyDescent="0.35">
      <c r="B17" s="7" t="s">
        <v>428</v>
      </c>
      <c r="C17" s="22" t="s">
        <v>412</v>
      </c>
      <c r="D17" s="22" t="s">
        <v>412</v>
      </c>
      <c r="E17" s="22" t="s">
        <v>412</v>
      </c>
      <c r="F17" s="22" t="s">
        <v>412</v>
      </c>
      <c r="G17" s="7" t="s">
        <v>429</v>
      </c>
    </row>
    <row r="18" spans="2:7" x14ac:dyDescent="0.35">
      <c r="B18" s="7" t="s">
        <v>36</v>
      </c>
      <c r="C18" s="22" t="s">
        <v>412</v>
      </c>
      <c r="D18" s="22" t="s">
        <v>412</v>
      </c>
      <c r="E18" s="22" t="s">
        <v>412</v>
      </c>
      <c r="F18" s="22" t="s">
        <v>412</v>
      </c>
      <c r="G18" s="7" t="s">
        <v>430</v>
      </c>
    </row>
    <row r="19" spans="2:7" x14ac:dyDescent="0.35">
      <c r="B19" s="7" t="s">
        <v>431</v>
      </c>
      <c r="C19" s="7" t="s">
        <v>432</v>
      </c>
      <c r="D19" s="7" t="s">
        <v>433</v>
      </c>
      <c r="E19" s="7" t="s">
        <v>433</v>
      </c>
      <c r="F19" s="7" t="s">
        <v>433</v>
      </c>
      <c r="G19" s="7" t="s">
        <v>434</v>
      </c>
    </row>
    <row r="20" spans="2:7" x14ac:dyDescent="0.35">
      <c r="B20" s="7" t="s">
        <v>435</v>
      </c>
      <c r="C20" s="7" t="s">
        <v>436</v>
      </c>
      <c r="D20" s="7" t="s">
        <v>436</v>
      </c>
      <c r="E20" s="7" t="s">
        <v>436</v>
      </c>
      <c r="F20" s="7" t="s">
        <v>436</v>
      </c>
      <c r="G20" s="7" t="s">
        <v>437</v>
      </c>
    </row>
    <row r="21" spans="2:7" x14ac:dyDescent="0.35">
      <c r="B21" s="7" t="s">
        <v>438</v>
      </c>
      <c r="C21" s="22" t="s">
        <v>412</v>
      </c>
      <c r="D21" s="22" t="s">
        <v>412</v>
      </c>
      <c r="E21" s="22" t="s">
        <v>412</v>
      </c>
      <c r="F21" s="22" t="s">
        <v>412</v>
      </c>
      <c r="G21" s="7" t="s">
        <v>439</v>
      </c>
    </row>
    <row r="22" spans="2:7" x14ac:dyDescent="0.35">
      <c r="B22" s="7" t="s">
        <v>440</v>
      </c>
      <c r="C22" s="22" t="s">
        <v>412</v>
      </c>
      <c r="D22" s="22" t="s">
        <v>412</v>
      </c>
      <c r="E22" s="22" t="s">
        <v>412</v>
      </c>
      <c r="F22" s="22" t="s">
        <v>412</v>
      </c>
      <c r="G22" s="7" t="s">
        <v>441</v>
      </c>
    </row>
  </sheetData>
  <pageMargins left="0.75" right="0.75" top="1" bottom="1" header="0.5" footer="0.5"/>
  <headerFooter>
    <oddFooter>&amp;C_x000D_&amp;1#&amp;"Aptos"&amp;10&amp;K008000 Ejada Public Information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8"/>
  <sheetViews>
    <sheetView showGridLines="0" tabSelected="1" workbookViewId="0"/>
  </sheetViews>
  <sheetFormatPr defaultRowHeight="14.5" x14ac:dyDescent="0.35"/>
  <cols>
    <col min="1" max="1" width="2" customWidth="1"/>
    <col min="2" max="2" width="14" customWidth="1"/>
    <col min="3" max="3" width="34" customWidth="1"/>
    <col min="4" max="4" width="14" customWidth="1"/>
    <col min="5" max="5" width="60" customWidth="1"/>
  </cols>
  <sheetData>
    <row r="2" spans="1:5" ht="18" x14ac:dyDescent="0.4">
      <c r="B2" s="5" t="s">
        <v>442</v>
      </c>
    </row>
    <row r="4" spans="1:5" x14ac:dyDescent="0.35">
      <c r="A4" s="6"/>
      <c r="B4" s="6" t="s">
        <v>443</v>
      </c>
      <c r="C4" s="6" t="s">
        <v>444</v>
      </c>
      <c r="D4" s="6" t="s">
        <v>445</v>
      </c>
      <c r="E4" s="6" t="s">
        <v>446</v>
      </c>
    </row>
    <row r="5" spans="1:5" x14ac:dyDescent="0.35">
      <c r="B5" s="7" t="s">
        <v>149</v>
      </c>
      <c r="C5" s="7" t="s">
        <v>447</v>
      </c>
      <c r="D5" s="7" t="s">
        <v>92</v>
      </c>
      <c r="E5" s="7" t="s">
        <v>448</v>
      </c>
    </row>
    <row r="6" spans="1:5" x14ac:dyDescent="0.35">
      <c r="B6" s="7" t="s">
        <v>77</v>
      </c>
      <c r="C6" s="7" t="s">
        <v>449</v>
      </c>
      <c r="D6" s="7" t="s">
        <v>450</v>
      </c>
      <c r="E6" s="7" t="s">
        <v>451</v>
      </c>
    </row>
    <row r="7" spans="1:5" x14ac:dyDescent="0.35">
      <c r="B7" s="7" t="s">
        <v>53</v>
      </c>
      <c r="C7" s="7" t="s">
        <v>452</v>
      </c>
      <c r="D7" s="7" t="s">
        <v>453</v>
      </c>
      <c r="E7" s="7" t="s">
        <v>454</v>
      </c>
    </row>
    <row r="8" spans="1:5" x14ac:dyDescent="0.35">
      <c r="B8" s="7" t="s">
        <v>247</v>
      </c>
      <c r="C8" s="7" t="s">
        <v>455</v>
      </c>
      <c r="D8" s="7" t="s">
        <v>92</v>
      </c>
      <c r="E8" s="7" t="s">
        <v>456</v>
      </c>
    </row>
  </sheetData>
  <pageMargins left="0.75" right="0.75" top="1" bottom="1" header="0.5" footer="0.5"/>
  <headerFooter>
    <oddFooter>&amp;C_x000D_&amp;1#&amp;"Aptos"&amp;10&amp;K008000 Ejada Public Information</oddFooter>
  </headerFooter>
</worksheet>
</file>

<file path=docMetadata/LabelInfo.xml><?xml version="1.0" encoding="utf-8"?>
<clbl:labelList xmlns:clbl="http://schemas.microsoft.com/office/2020/mipLabelMetadata">
  <clbl:label id="{b5ab016a-022d-4842-b407-a61897a39a0c}" enabled="1" method="Privileged" siteId="{e1304ad9-93ba-4557-8b20-8c1c1143b399}"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Severity Matrix</vt:lpstr>
      <vt:lpstr>Bug Tracker</vt:lpstr>
      <vt:lpstr>Recommendations</vt:lpstr>
      <vt:lpstr>Test Coverage</vt:lpstr>
      <vt:lpstr>Test Accounts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Omar Ibrahim | Ejada Systems</cp:lastModifiedBy>
  <dcterms:created xsi:type="dcterms:W3CDTF">2026-04-14T19:35:06Z</dcterms:created>
  <dcterms:modified xsi:type="dcterms:W3CDTF">2026-04-14T20:08:07Z</dcterms:modified>
</cp:coreProperties>
</file>